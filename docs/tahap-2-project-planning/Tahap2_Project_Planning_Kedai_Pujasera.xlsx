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3"/>
    <sheet name="Jadwal Gantt" sheetId="2" state="visible" r:id="rId4"/>
    <sheet name="Resource Plan" sheetId="3" state="visible" r:id="rId5"/>
    <sheet name="Effort Manday" sheetId="4" state="visible" r:id="rId6"/>
    <sheet name="Biaya" sheetId="5" state="visible" r:id="rId7"/>
    <sheet name="Risk Regist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<sst xmlns="http://schemas.openxmlformats.org/spreadsheetml/2006/main" count="907" uniqueCount="477">
  <si>
    <t xml:space="preserve">Tahap 2 — Project Planning: Kedai Pujasera Digital</t>
  </si>
  <si>
    <t xml:space="preserve">Kelompok 11 · Teknik Informatika · Universitas Samudra · Manajemen Proyek Perangkat Lunak · Dosen: Cut Alna Fadhilla, S.Kom., M.Sc</t>
  </si>
  <si>
    <t xml:space="preserve">Tim</t>
  </si>
  <si>
    <t xml:space="preserve">Andi Saputra (230504081), Muhammad Hafiz Akbar (230504077), Arya Diansyah (230504063), Kharisa Ariyana (230504069)</t>
  </si>
  <si>
    <t xml:space="preserve">Tanggal mulai jadwal</t>
  </si>
  <si>
    <t xml:space="preserve">Senin; 17–18 Okt akhir pekan. Ubah di sini bila mulai berbeda (judul bulan di Gantt perlu disesuaikan).</t>
  </si>
  <si>
    <t xml:space="preserve">Isi workbook</t>
  </si>
  <si>
    <t xml:space="preserve">Tenggat</t>
  </si>
  <si>
    <t xml:space="preserve">Tahap</t>
  </si>
  <si>
    <t xml:space="preserve">Pekerjaan selesai (jadwal)</t>
  </si>
  <si>
    <t xml:space="preserve">Sisa hari kalender</t>
  </si>
  <si>
    <t xml:space="preserve">Status</t>
  </si>
  <si>
    <t xml:space="preserve">Tahap 2 — Project Planning</t>
  </si>
  <si>
    <t xml:space="preserve">Tahap 3 — Project Execution</t>
  </si>
  <si>
    <t xml:space="preserve">Tahap 4 — Monitoring &amp; Controlling</t>
  </si>
  <si>
    <t xml:space="preserve">Tahap 5 — Project Closure</t>
  </si>
  <si>
    <t xml:space="preserve">Tahap 3 diukur dari selesainya analisis kebutuhan, perancangan, dan lingkungan pengembangan; Tahap 4 dari kompilasi laporan monitoring; Tahap 5 dari dokumentasi dan penutupan.</t>
  </si>
  <si>
    <t xml:space="preserve">Jadwal Gantt</t>
  </si>
  <si>
    <t xml:space="preserve">Project Schedule / Gantt Chart: aktivitas, durasi, mulai–selesai, dependensi, milestone</t>
  </si>
  <si>
    <t xml:space="preserve">Resource Plan</t>
  </si>
  <si>
    <t xml:space="preserve">Resource &amp; Responsibility Plan: anggota, peran, tanggung jawab, matriks RACI, kebutuhan sumber daya</t>
  </si>
  <si>
    <t xml:space="preserve">Effort Manday</t>
  </si>
  <si>
    <t xml:space="preserve">Effort Estimation (manday) per aktivitas berdasarkan WBS</t>
  </si>
  <si>
    <t xml:space="preserve">Biaya</t>
  </si>
  <si>
    <t xml:space="preserve">Project Cost Estimation: tenaga kerja, perangkat/layanan, overhead, cadangan</t>
  </si>
  <si>
    <t xml:space="preserve">Risk Register</t>
  </si>
  <si>
    <t xml:space="preserve">Risiko, probabilitas, dampak, skor, dan strategi mitigasi</t>
  </si>
  <si>
    <t xml:space="preserve">Asumsi yang dipakai</t>
  </si>
  <si>
    <t xml:space="preserve">Hari kerja Senin–Jumat; hari libur nasional tidak diperhitungkan. Inisiasi (WBS 1) sudah selesai sebelum jadwal ini.</t>
  </si>
  <si>
    <t xml:space="preserve">Estimasi manday memakai PERT tiga titik, E = (O + 4M + P) ÷ 6. Angka O, M, P adalah perkiraan tim.</t>
  </si>
  <si>
    <t xml:space="preserve">Durasi = manday ÷ jumlah orang, dibulatkan ke atas. Rapat koordinasi dijadwalkan tiap Rabu.</t>
  </si>
  <si>
    <t xml:space="preserve">Tarif Rp100.000 per manday di sheet Biaya adalah asumsi nilai setara tenaga kerja, bukan pembayaran nyata.</t>
  </si>
  <si>
    <t xml:space="preserve">Harga kuota internet, transportasi, dan cetak di sheet Biaya adalah asumsi. Ganti dengan angka sebenarnya.</t>
  </si>
  <si>
    <t xml:space="preserve">Probabilitas dan dampak risiko adalah penilaian awal tim, bukan hasil pengukuran.</t>
  </si>
  <si>
    <t xml:space="preserve">Kode WBS 2.5–2.9, 8, dan 9 ditambahkan sesuai output Tahap 2, 4, dan 5 (di luar WBS awal pada laporan Bab IV).</t>
  </si>
  <si>
    <t xml:space="preserve">Pembagian PIC pada jadwal ini menyesuaikan beban kerja, sehingga ada perbedaan kecil dari Tabel 4.3 di laporan awal.</t>
  </si>
  <si>
    <t xml:space="preserve">Kode warna</t>
  </si>
  <si>
    <t xml:space="preserve">Biru = nilai input yang boleh diubah</t>
  </si>
  <si>
    <t xml:space="preserve">Hitam = rumus</t>
  </si>
  <si>
    <t xml:space="preserve">Hijau = tautan dari sheet lain</t>
  </si>
  <si>
    <t xml:space="preserve">Latar kuning = asumsi kunci / sel yang perlu dicek</t>
  </si>
  <si>
    <t xml:space="preserve">Project Schedule / Gantt Chart — Kedai Pujasera Digital</t>
  </si>
  <si>
    <t xml:space="preserve">Hari kerja Senin–Jumat. Tanggal mulai/selesai dihitung otomatis dari durasi (sheet Effort Manday) dan dependensi Finish-to-Start (FS).</t>
  </si>
  <si>
    <t xml:space="preserve">Legenda:</t>
  </si>
  <si>
    <t xml:space="preserve">Biru = aktivitas</t>
  </si>
  <si>
    <t xml:space="preserve">Hijau = rapat</t>
  </si>
  <si>
    <t xml:space="preserve">Oktober 2026</t>
  </si>
  <si>
    <t xml:space="preserve">November 2026</t>
  </si>
  <si>
    <t xml:space="preserve">Hitam tebal = ringkasan fase</t>
  </si>
  <si>
    <t xml:space="preserve">◆ = tenggat dosen</t>
  </si>
  <si>
    <t xml:space="preserve">No</t>
  </si>
  <si>
    <t xml:space="preserve">Kode WBS</t>
  </si>
  <si>
    <t xml:space="preserve">Aktivitas</t>
  </si>
  <si>
    <t xml:space="preserve">PIC</t>
  </si>
  <si>
    <t xml:space="preserve">Durasi (hari kerja)</t>
  </si>
  <si>
    <t xml:space="preserve">Dependensi</t>
  </si>
  <si>
    <t xml:space="preserve">Mulai</t>
  </si>
  <si>
    <t xml:space="preserve">Selesai</t>
  </si>
  <si>
    <t xml:space="preserve">Jenis</t>
  </si>
  <si>
    <t xml:space="preserve">MILESTONE (TENGGAT DOSEN)</t>
  </si>
  <si>
    <t xml:space="preserve">Judul</t>
  </si>
  <si>
    <t xml:space="preserve">M2</t>
  </si>
  <si>
    <t xml:space="preserve">Tahap 2 Project Planning dikumpulkan</t>
  </si>
  <si>
    <t xml:space="preserve">Semua</t>
  </si>
  <si>
    <t xml:space="preserve">Tanggal tetap (dosen)</t>
  </si>
  <si>
    <t xml:space="preserve">Milestone</t>
  </si>
  <si>
    <t xml:space="preserve">M3</t>
  </si>
  <si>
    <t xml:space="preserve">Tahap 3 Project Execution dikumpulkan</t>
  </si>
  <si>
    <t xml:space="preserve">M4</t>
  </si>
  <si>
    <t xml:space="preserve">Tahap 4 Monitoring &amp; Controlling dikumpulkan</t>
  </si>
  <si>
    <t xml:space="preserve">M5</t>
  </si>
  <si>
    <t xml:space="preserve">Tahap 5 Project Closure dan presentasi final</t>
  </si>
  <si>
    <t xml:space="preserve">PERENCANAAN (TAHAP 2 — PROJECT PLANNING)</t>
  </si>
  <si>
    <t xml:space="preserve">Ringkasan</t>
  </si>
  <si>
    <t xml:space="preserve">2.3</t>
  </si>
  <si>
    <t xml:space="preserve">Menyusun jadwal kegiatan dan Gantt Chart</t>
  </si>
  <si>
    <t xml:space="preserve">Hafiz</t>
  </si>
  <si>
    <t xml:space="preserve">Mulai proyek</t>
  </si>
  <si>
    <t xml:space="preserve">2.5</t>
  </si>
  <si>
    <t xml:space="preserve">Menyusun Resource &amp; Responsibility Plan</t>
  </si>
  <si>
    <t xml:space="preserve">Andi</t>
  </si>
  <si>
    <t xml:space="preserve">2.6</t>
  </si>
  <si>
    <t xml:space="preserve">Menyusun estimasi usaha (manday)</t>
  </si>
  <si>
    <t xml:space="preserve">Kharisa</t>
  </si>
  <si>
    <t xml:space="preserve">FS: 2.3</t>
  </si>
  <si>
    <t xml:space="preserve">2.7</t>
  </si>
  <si>
    <t xml:space="preserve">Menyusun estimasi biaya proyek</t>
  </si>
  <si>
    <t xml:space="preserve">FS: 2.6</t>
  </si>
  <si>
    <t xml:space="preserve">2.8</t>
  </si>
  <si>
    <t xml:space="preserve">Menyusun Risk Register</t>
  </si>
  <si>
    <t xml:space="preserve">Arya</t>
  </si>
  <si>
    <t xml:space="preserve">2.9</t>
  </si>
  <si>
    <t xml:space="preserve">Review, kompilasi, dan unggah dokumen Tahap 2 ke GitHub</t>
  </si>
  <si>
    <t xml:space="preserve">Andi, Hafiz</t>
  </si>
  <si>
    <t xml:space="preserve">FS: 2.5, 2.7, 2.8</t>
  </si>
  <si>
    <t xml:space="preserve">ANALISIS KEBUTUHAN</t>
  </si>
  <si>
    <t xml:space="preserve">3.1</t>
  </si>
  <si>
    <t xml:space="preserve">Mengumpulkan data menu, harga, foto, dan informasi kedai</t>
  </si>
  <si>
    <t xml:space="preserve">FS: 2.9</t>
  </si>
  <si>
    <t xml:space="preserve">3.2</t>
  </si>
  <si>
    <t xml:space="preserve">Menentukan kebutuhan pengguna</t>
  </si>
  <si>
    <t xml:space="preserve">3.3</t>
  </si>
  <si>
    <t xml:space="preserve">Menyusun kebutuhan fungsional dan nonfungsional</t>
  </si>
  <si>
    <t xml:space="preserve">FS: 3.2</t>
  </si>
  <si>
    <t xml:space="preserve">PERANCANGAN</t>
  </si>
  <si>
    <t xml:space="preserve">4.1</t>
  </si>
  <si>
    <t xml:space="preserve">Merancang struktur informasi/halaman</t>
  </si>
  <si>
    <t xml:space="preserve">4.2</t>
  </si>
  <si>
    <t xml:space="preserve">Merancang tampilan (wireframe/mockup)</t>
  </si>
  <si>
    <t xml:space="preserve">FS: 4.1, 3.2</t>
  </si>
  <si>
    <t xml:space="preserve">4.3</t>
  </si>
  <si>
    <t xml:space="preserve">Menentukan teknologi yang digunakan</t>
  </si>
  <si>
    <t xml:space="preserve">PENGEMBANGAN</t>
  </si>
  <si>
    <t xml:space="preserve">5.1</t>
  </si>
  <si>
    <t xml:space="preserve">Menyiapkan lingkungan pengembangan</t>
  </si>
  <si>
    <t xml:space="preserve">FS: 4.3</t>
  </si>
  <si>
    <t xml:space="preserve">5.2</t>
  </si>
  <si>
    <t xml:space="preserve">Membuat tampilan halaman</t>
  </si>
  <si>
    <t xml:space="preserve">FS: 4.2, 5.1</t>
  </si>
  <si>
    <t xml:space="preserve">5.3</t>
  </si>
  <si>
    <t xml:space="preserve">Memasukkan menu, foto, harga, dan informasi kedai</t>
  </si>
  <si>
    <t xml:space="preserve">FS: 5.2, 3.1</t>
  </si>
  <si>
    <t xml:space="preserve">5.4</t>
  </si>
  <si>
    <t xml:space="preserve">Mengelola versi kode melalui GitHub (berkelanjutan)</t>
  </si>
  <si>
    <t xml:space="preserve">SS: 5.1</t>
  </si>
  <si>
    <t xml:space="preserve">PENGUJIAN</t>
  </si>
  <si>
    <t xml:space="preserve">6.1</t>
  </si>
  <si>
    <t xml:space="preserve">Menyusun skenario pengujian</t>
  </si>
  <si>
    <t xml:space="preserve">FS: 3.3</t>
  </si>
  <si>
    <t xml:space="preserve">6.2</t>
  </si>
  <si>
    <t xml:space="preserve">Menguji tampilan dan fungsi</t>
  </si>
  <si>
    <t xml:space="preserve">Arya, Andi</t>
  </si>
  <si>
    <t xml:space="preserve">FS: 5.3, 6.1</t>
  </si>
  <si>
    <t xml:space="preserve">6.3</t>
  </si>
  <si>
    <t xml:space="preserve">Memperbaiki temuan pengujian</t>
  </si>
  <si>
    <t xml:space="preserve">Kharisa, Hafiz</t>
  </si>
  <si>
    <t xml:space="preserve">FS: 6.2</t>
  </si>
  <si>
    <t xml:space="preserve">6.4</t>
  </si>
  <si>
    <t xml:space="preserve">Meminta masukan dari pemilik kedai</t>
  </si>
  <si>
    <t xml:space="preserve">DOKUMENTASI</t>
  </si>
  <si>
    <t xml:space="preserve">7.1</t>
  </si>
  <si>
    <t xml:space="preserve">Menyusun laporan akhir proyek</t>
  </si>
  <si>
    <t xml:space="preserve">FS: 6.3, 6.4</t>
  </si>
  <si>
    <t xml:space="preserve">7.2</t>
  </si>
  <si>
    <t xml:space="preserve">Mendokumentasikan repositori dan cara penggunaan</t>
  </si>
  <si>
    <t xml:space="preserve">FS: 5.4</t>
  </si>
  <si>
    <t xml:space="preserve">7.3</t>
  </si>
  <si>
    <t xml:space="preserve">Menyiapkan presentasi final</t>
  </si>
  <si>
    <t xml:space="preserve">FS: 9.1</t>
  </si>
  <si>
    <t xml:space="preserve">7.4</t>
  </si>
  <si>
    <t xml:space="preserve">Menyusun evaluasi pencapaian dan Lessons Learned</t>
  </si>
  <si>
    <t xml:space="preserve">Arya, Kharisa</t>
  </si>
  <si>
    <t xml:space="preserve">MONITORING &amp; CONTROLLING (TAHAP 4)</t>
  </si>
  <si>
    <t xml:space="preserve">8.1</t>
  </si>
  <si>
    <t xml:space="preserve">Rekap rencana vs realisasi waktu</t>
  </si>
  <si>
    <t xml:space="preserve">Tanggal tetap</t>
  </si>
  <si>
    <t xml:space="preserve">8.2</t>
  </si>
  <si>
    <t xml:space="preserve">Rekap manday estimasi vs aktual</t>
  </si>
  <si>
    <t xml:space="preserve">8.3</t>
  </si>
  <si>
    <t xml:space="preserve">Rekap anggaran vs biaya aktual</t>
  </si>
  <si>
    <t xml:space="preserve">8.4</t>
  </si>
  <si>
    <t xml:space="preserve">Daftar masalah, perubahan ruang lingkup, dan tindakan korektif</t>
  </si>
  <si>
    <t xml:space="preserve">8.5</t>
  </si>
  <si>
    <t xml:space="preserve">Kompilasi dan unggah laporan Tahap 4</t>
  </si>
  <si>
    <t xml:space="preserve">FS: 8.1, 8.2, 8.3, 8.4</t>
  </si>
  <si>
    <t xml:space="preserve">PENUTUPAN PROYEK (TAHAP 5 — CLOSURE)</t>
  </si>
  <si>
    <t xml:space="preserve">9.1</t>
  </si>
  <si>
    <t xml:space="preserve">Finalisasi produk akhir/prototipe</t>
  </si>
  <si>
    <t xml:space="preserve">Hafiz, Arya</t>
  </si>
  <si>
    <t xml:space="preserve">FS: 6.3</t>
  </si>
  <si>
    <t xml:space="preserve">9.2</t>
  </si>
  <si>
    <t xml:space="preserve">Latihan presentasi final</t>
  </si>
  <si>
    <t xml:space="preserve">Andi, Hafiz, Arya, Kharisa</t>
  </si>
  <si>
    <t xml:space="preserve">FS: 7.1, 7.3</t>
  </si>
  <si>
    <t xml:space="preserve">RAPAT KOORDINASI MINGGUAN (SETIAP RABU)</t>
  </si>
  <si>
    <t xml:space="preserve">R1</t>
  </si>
  <si>
    <t xml:space="preserve">Rapat koordinasi dan notulen minggu ke-1</t>
  </si>
  <si>
    <t xml:space="preserve">Rapat</t>
  </si>
  <si>
    <t xml:space="preserve">R2</t>
  </si>
  <si>
    <t xml:space="preserve">Rapat koordinasi dan notulen minggu ke-2</t>
  </si>
  <si>
    <t xml:space="preserve">R3</t>
  </si>
  <si>
    <t xml:space="preserve">Rapat koordinasi dan notulen minggu ke-3</t>
  </si>
  <si>
    <t xml:space="preserve">R4</t>
  </si>
  <si>
    <t xml:space="preserve">Rapat koordinasi dan notulen minggu ke-4</t>
  </si>
  <si>
    <t xml:space="preserve">R5</t>
  </si>
  <si>
    <t xml:space="preserve">Rapat koordinasi dan notulen minggu ke-5</t>
  </si>
  <si>
    <t xml:space="preserve">R6</t>
  </si>
  <si>
    <t xml:space="preserve">Rapat koordinasi dan notulen minggu ke-6</t>
  </si>
  <si>
    <t xml:space="preserve">Resource &amp; Responsibility Plan — Kedai Pujasera Digital</t>
  </si>
  <si>
    <t xml:space="preserve">Peran dan pembagian tanggung jawab bersifat usulan dan bisa disesuaikan kelompok.</t>
  </si>
  <si>
    <t xml:space="preserve">1. Anggota tim, peran, dan tanggung jawab</t>
  </si>
  <si>
    <t xml:space="preserve">Nama</t>
  </si>
  <si>
    <t xml:space="preserve">NIM</t>
  </si>
  <si>
    <t xml:space="preserve">Peran proyek</t>
  </si>
  <si>
    <t xml:space="preserve">Tanggung jawab utama</t>
  </si>
  <si>
    <t xml:space="preserve">Kode WBS yang dipegang</t>
  </si>
  <si>
    <t xml:space="preserve">Total manday</t>
  </si>
  <si>
    <t xml:space="preserve">Andi Saputra</t>
  </si>
  <si>
    <t xml:space="preserve">230504081</t>
  </si>
  <si>
    <t xml:space="preserve">Analis kebutuhan dan penyusun laporan</t>
  </si>
  <si>
    <t xml:space="preserve">Analisis kebutuhan pengguna, skenario pengujian, masukan pemilik kedai, laporan akhir, review dokumen</t>
  </si>
  <si>
    <t xml:space="preserve">2.5, 2.9, 3.2, 3.3, 6.1, 6.2, 6.4, 7.1, 8.3, 8.5, 9.2 + rapat mingguan</t>
  </si>
  <si>
    <t xml:space="preserve">Muhammad Hafiz Akbar</t>
  </si>
  <si>
    <t xml:space="preserve">230504077</t>
  </si>
  <si>
    <t xml:space="preserve">Pengelola repositori dan pengembang</t>
  </si>
  <si>
    <t xml:space="preserve">Jadwal dan biaya proyek, teknologi, lingkungan pengembangan, pengelolaan GitHub, finalisasi produk</t>
  </si>
  <si>
    <t xml:space="preserve">2.3, 2.7, 2.9, 4.3, 5.1, 5.4, 6.3, 7.2, 8.1, 9.1, 9.2 + rapat mingguan</t>
  </si>
  <si>
    <t xml:space="preserve">Arya Diansyah</t>
  </si>
  <si>
    <t xml:space="preserve">230504063</t>
  </si>
  <si>
    <t xml:space="preserve">Perancang tampilan dan pengembang UI</t>
  </si>
  <si>
    <t xml:space="preserve">Risk register, struktur halaman, wireframe/mockup, pembuatan tampilan, pengujian, evaluasi</t>
  </si>
  <si>
    <t xml:space="preserve">2.8, 4.1, 4.2, 5.2, 6.2, 7.4, 8.4, 9.1, 9.2 + rapat mingguan</t>
  </si>
  <si>
    <t xml:space="preserve">Kharisa Ariyana</t>
  </si>
  <si>
    <t xml:space="preserve">230504069</t>
  </si>
  <si>
    <t xml:space="preserve">Pengelola konten dan presentasi</t>
  </si>
  <si>
    <t xml:space="preserve">Estimasi manday, pengumpulan data kedai, pemasukan konten, perbaikan temuan, presentasi final</t>
  </si>
  <si>
    <t xml:space="preserve">2.6, 3.1, 5.3, 6.3, 7.3, 7.4, 8.2, 9.2 + rapat mingguan</t>
  </si>
  <si>
    <t xml:space="preserve">Total</t>
  </si>
  <si>
    <t xml:space="preserve">2. Matriks tanggung jawab (R = pelaksana utama, S = pendukung, C = dikonsultasikan, I = diinformasikan)</t>
  </si>
  <si>
    <t xml:space="preserve">Pekerjaan</t>
  </si>
  <si>
    <t xml:space="preserve">Dosen</t>
  </si>
  <si>
    <t xml:space="preserve">Pemilik kedai</t>
  </si>
  <si>
    <t xml:space="preserve">Jadwal dan Gantt Chart</t>
  </si>
  <si>
    <t xml:space="preserve">S</t>
  </si>
  <si>
    <t xml:space="preserve">R</t>
  </si>
  <si>
    <t xml:space="preserve">C</t>
  </si>
  <si>
    <t xml:space="preserve">I</t>
  </si>
  <si>
    <t xml:space="preserve">-</t>
  </si>
  <si>
    <t xml:space="preserve">Resource &amp; Responsibility Plan</t>
  </si>
  <si>
    <t xml:space="preserve">Estimasi manday dan biaya</t>
  </si>
  <si>
    <t xml:space="preserve">Pengumpulan data menu, harga, foto</t>
  </si>
  <si>
    <t xml:space="preserve">Kebutuhan pengguna dan sistem</t>
  </si>
  <si>
    <t xml:space="preserve">Perancangan struktur dan tampilan</t>
  </si>
  <si>
    <t xml:space="preserve">Pengelolaan repositori GitHub</t>
  </si>
  <si>
    <t xml:space="preserve">Pembuatan tampilan halaman</t>
  </si>
  <si>
    <t xml:space="preserve">Pemasukan konten kedai</t>
  </si>
  <si>
    <t xml:space="preserve">Pengujian dan perbaikan</t>
  </si>
  <si>
    <t xml:space="preserve">Laporan akhir dan evaluasi</t>
  </si>
  <si>
    <t xml:space="preserve">Presentasi final</t>
  </si>
  <si>
    <t xml:space="preserve">3. Kebutuhan sumber daya</t>
  </si>
  <si>
    <t xml:space="preserve">Sumber daya</t>
  </si>
  <si>
    <t xml:space="preserve">Kategori</t>
  </si>
  <si>
    <t xml:space="preserve">Jumlah</t>
  </si>
  <si>
    <t xml:space="preserve">Status/sumber</t>
  </si>
  <si>
    <t xml:space="preserve">Dipakai untuk (kode WBS)</t>
  </si>
  <si>
    <t xml:space="preserve">Catatan</t>
  </si>
  <si>
    <t xml:space="preserve">Anggota tim</t>
  </si>
  <si>
    <t xml:space="preserve">Manusia</t>
  </si>
  <si>
    <t xml:space="preserve">4 orang</t>
  </si>
  <si>
    <t xml:space="preserve">Tersedia</t>
  </si>
  <si>
    <t xml:space="preserve">Seluruh aktivitas</t>
  </si>
  <si>
    <t xml:space="preserve">Total manday lihat sheet Effort Manday</t>
  </si>
  <si>
    <t xml:space="preserve">Pemilik/pengelola Kedai Pujasera</t>
  </si>
  <si>
    <t xml:space="preserve">Manusia (narasumber)</t>
  </si>
  <si>
    <t xml:space="preserve">1 orang</t>
  </si>
  <si>
    <t xml:space="preserve">Perlu dijadwalkan</t>
  </si>
  <si>
    <t xml:space="preserve">3.1, 5.3, 6.4</t>
  </si>
  <si>
    <t xml:space="preserve">Sumber data menu, harga, foto, dan masukan</t>
  </si>
  <si>
    <t xml:space="preserve">Dosen pengampu</t>
  </si>
  <si>
    <t xml:space="preserve">Manusia (pembimbing)</t>
  </si>
  <si>
    <t xml:space="preserve">Seluruh tahap</t>
  </si>
  <si>
    <t xml:space="preserve">Arahan dan penilaian</t>
  </si>
  <si>
    <t xml:space="preserve">Laptop/PC</t>
  </si>
  <si>
    <t xml:space="preserve">Perangkat</t>
  </si>
  <si>
    <t xml:space="preserve">4 unit</t>
  </si>
  <si>
    <t xml:space="preserve">Milik pribadi (asumsi)</t>
  </si>
  <si>
    <t xml:space="preserve">4.x, 5.x, dokumen</t>
  </si>
  <si>
    <t xml:space="preserve">Konfirmasi semua anggota memiliki</t>
  </si>
  <si>
    <t xml:space="preserve">Smartphone dengan kamera</t>
  </si>
  <si>
    <t xml:space="preserve">minimal 1</t>
  </si>
  <si>
    <t xml:space="preserve">3.1, 5.3</t>
  </si>
  <si>
    <t xml:space="preserve">Untuk foto produk dan dokumentasi</t>
  </si>
  <si>
    <t xml:space="preserve">Git dan GitHub</t>
  </si>
  <si>
    <t xml:space="preserve">Layanan</t>
  </si>
  <si>
    <t xml:space="preserve">1 repositori</t>
  </si>
  <si>
    <t xml:space="preserve">Gratis</t>
  </si>
  <si>
    <t xml:space="preserve">2.9, 5.4, 7.2</t>
  </si>
  <si>
    <t xml:space="preserve">Bukti kolaborasi Tahap 3</t>
  </si>
  <si>
    <t xml:space="preserve">GitHub Pages</t>
  </si>
  <si>
    <t xml:space="preserve">Layanan hosting</t>
  </si>
  <si>
    <t xml:space="preserve">1 situs</t>
  </si>
  <si>
    <t xml:space="preserve">5.x, 9.1</t>
  </si>
  <si>
    <t xml:space="preserve">Alternatif hosting bila diperlukan</t>
  </si>
  <si>
    <t xml:space="preserve">Figma/Canva (paket gratis)</t>
  </si>
  <si>
    <t xml:space="preserve">Perangkat lunak</t>
  </si>
  <si>
    <t xml:space="preserve">1 akun</t>
  </si>
  <si>
    <t xml:space="preserve">Wireframe dan mockup</t>
  </si>
  <si>
    <t xml:space="preserve">Editor kode dan peramban</t>
  </si>
  <si>
    <t xml:space="preserve">4 set</t>
  </si>
  <si>
    <t xml:space="preserve">5.1–5.3</t>
  </si>
  <si>
    <t xml:space="preserve">Contoh: VS Code</t>
  </si>
  <si>
    <t xml:space="preserve">Aplikasi dokumen dan lembar kerja</t>
  </si>
  <si>
    <t xml:space="preserve">Tersedia (asumsi)</t>
  </si>
  <si>
    <t xml:space="preserve">2.x, 7.x, 8.x</t>
  </si>
  <si>
    <t xml:space="preserve">Word/Excel atau padanannya</t>
  </si>
  <si>
    <t xml:space="preserve">Koneksi internet dan aplikasi pesan</t>
  </si>
  <si>
    <t xml:space="preserve">Infrastruktur</t>
  </si>
  <si>
    <t xml:space="preserve">4 akses</t>
  </si>
  <si>
    <t xml:space="preserve">Pribadi</t>
  </si>
  <si>
    <t xml:space="preserve">Rapat daring dan koordinasi</t>
  </si>
  <si>
    <t xml:space="preserve">Akses ke lokasi kedai</t>
  </si>
  <si>
    <t xml:space="preserve">Lain-lain</t>
  </si>
  <si>
    <t xml:space="preserve">sesuai kebutuhan</t>
  </si>
  <si>
    <t xml:space="preserve">3.1, 6.4</t>
  </si>
  <si>
    <t xml:space="preserve">Pengumpulan data dan uji bersama pemilik</t>
  </si>
  <si>
    <t xml:space="preserve">Estimasi Usaha (Manday) — Kedai Pujasera Digital</t>
  </si>
  <si>
    <t xml:space="preserve">Metode PERT tiga titik: E = (O + 4M + P) ÷ 6. O, M, P adalah perkiraan tim dan bisa diubah (sel biru). Manday = hari kerja satu orang.</t>
  </si>
  <si>
    <t xml:space="preserve">Fase</t>
  </si>
  <si>
    <t xml:space="preserve">Jml orang</t>
  </si>
  <si>
    <t xml:space="preserve">O (optimis)</t>
  </si>
  <si>
    <t xml:space="preserve">M (paling mungkin)</t>
  </si>
  <si>
    <t xml:space="preserve">P (pesimis)</t>
  </si>
  <si>
    <t xml:space="preserve">Manday (E)</t>
  </si>
  <si>
    <t xml:space="preserve">Durasi otomatis (hari)</t>
  </si>
  <si>
    <t xml:space="preserve">Override durasi (hari)</t>
  </si>
  <si>
    <t xml:space="preserve">Durasi dipakai (hari)</t>
  </si>
  <si>
    <t xml:space="preserve">Perencanaan</t>
  </si>
  <si>
    <t xml:space="preserve">Analisis Kebutuhan</t>
  </si>
  <si>
    <t xml:space="preserve">Perancangan</t>
  </si>
  <si>
    <t xml:space="preserve">Pengembangan</t>
  </si>
  <si>
    <t xml:space="preserve">Pengujian</t>
  </si>
  <si>
    <t xml:space="preserve">Dokumentasi</t>
  </si>
  <si>
    <t xml:space="preserve">Monitoring &amp; Controlling</t>
  </si>
  <si>
    <t xml:space="preserve">Penutupan Proyek</t>
  </si>
  <si>
    <t xml:space="preserve">Koordinasi Tim</t>
  </si>
  <si>
    <t xml:space="preserve">TOTAL</t>
  </si>
  <si>
    <t xml:space="preserve">Cek: total manday per anggota = total manday proyek</t>
  </si>
  <si>
    <t xml:space="preserve">Rekap manday per fase</t>
  </si>
  <si>
    <t xml:space="preserve">Manday</t>
  </si>
  <si>
    <t xml:space="preserve">% total</t>
  </si>
  <si>
    <t xml:space="preserve">Catatan:</t>
  </si>
  <si>
    <t xml:space="preserve">1. Durasi otomatis = manday ÷ jumlah orang, dibulatkan ke atas (satu orang mengerjakan satu manday per hari kerja).</t>
  </si>
  <si>
    <t xml:space="preserve">2. Kode 5.4 (pengelolaan versi kode) berjalan sepanjang pengembangan dengan usaha kecil, jadi durasinya ditetapkan 14 hari lewat kolom Override.</t>
  </si>
  <si>
    <t xml:space="preserve">3. Kolom Andi–Kharisa membagi manday sama rata ke anggota yang tercantum pada kolom PIC.</t>
  </si>
  <si>
    <t xml:space="preserve">4. Angka O, M, P belum divalidasi dengan data riil; bandingkan dengan manday aktual pada Tahap 4 (Monitoring &amp; Controlling).</t>
  </si>
  <si>
    <t xml:space="preserve">Project Cost Estimation — Kedai Pujasera Digital</t>
  </si>
  <si>
    <t xml:space="preserve">Rupiah (Rp). Sel biru = asumsi yang boleh diganti. Tenaga kerja dihitung sebagai nilai setara (nonkas); pengeluaran tunai dipisahkan di ringkasan.</t>
  </si>
  <si>
    <t xml:space="preserve">Asumsi kunci</t>
  </si>
  <si>
    <t xml:space="preserve">Tarif tenaga kerja per manday (Rp)</t>
  </si>
  <si>
    <t xml:space="preserve">Cadangan/kontingensi (% dari biaya langsung dan overhead)</t>
  </si>
  <si>
    <t xml:space="preserve">A. Biaya tenaga kerja (nilai setara, nonkas)</t>
  </si>
  <si>
    <t xml:space="preserve">Anggota</t>
  </si>
  <si>
    <t xml:space="preserve">Peran</t>
  </si>
  <si>
    <t xml:space="preserve">Tarif/manday</t>
  </si>
  <si>
    <t xml:space="preserve">Biaya (Rp)</t>
  </si>
  <si>
    <t xml:space="preserve">Subtotal A</t>
  </si>
  <si>
    <t xml:space="preserve">B. Perangkat dan layanan</t>
  </si>
  <si>
    <t xml:space="preserve">Item</t>
  </si>
  <si>
    <t xml:space="preserve">Satuan</t>
  </si>
  <si>
    <t xml:space="preserve">Harga satuan (Rp)</t>
  </si>
  <si>
    <t xml:space="preserve">Periode (kali/bulan)</t>
  </si>
  <si>
    <t xml:space="preserve">Total (Rp)</t>
  </si>
  <si>
    <t xml:space="preserve">Laptop/PC anggota</t>
  </si>
  <si>
    <t xml:space="preserve">unit</t>
  </si>
  <si>
    <t xml:space="preserve">Nonkas</t>
  </si>
  <si>
    <t xml:space="preserve">Milik pribadi, tidak ada pembelian</t>
  </si>
  <si>
    <t xml:space="preserve">Smartphone (foto produk dan dokumentasi)</t>
  </si>
  <si>
    <t xml:space="preserve">Milik pribadi</t>
  </si>
  <si>
    <t xml:space="preserve">GitHub (akun dan repositori)</t>
  </si>
  <si>
    <t xml:space="preserve">layanan</t>
  </si>
  <si>
    <t xml:space="preserve">Paket gratis</t>
  </si>
  <si>
    <t xml:space="preserve">GitHub Pages (hosting)</t>
  </si>
  <si>
    <t xml:space="preserve">Figma/Canva (rancangan tampilan)</t>
  </si>
  <si>
    <t xml:space="preserve">Domain kustom (opsional)</t>
  </si>
  <si>
    <t xml:space="preserve">tahun</t>
  </si>
  <si>
    <t xml:space="preserve">Kas</t>
  </si>
  <si>
    <t xml:space="preserve">Isi jumlah dan harga bila kelompok memutuskan memakai domain sendiri</t>
  </si>
  <si>
    <t xml:space="preserve">Kuota internet</t>
  </si>
  <si>
    <t xml:space="preserve">orang</t>
  </si>
  <si>
    <t xml:space="preserve">Asumsi Rp75.000 per orang per bulan selama 2 bulan</t>
  </si>
  <si>
    <t xml:space="preserve">Subtotal</t>
  </si>
  <si>
    <t xml:space="preserve">C. Overhead dan operasional</t>
  </si>
  <si>
    <t xml:space="preserve">Transportasi ke kedai (pengumpulan data, foto, uji)</t>
  </si>
  <si>
    <t xml:space="preserve">kunjungan</t>
  </si>
  <si>
    <t xml:space="preserve">Asumsi 3 kunjungan, Rp50.000 per kunjungan; sesuaikan</t>
  </si>
  <si>
    <t xml:space="preserve">Cetak dan penjilidan dokumen</t>
  </si>
  <si>
    <t xml:space="preserve">paket</t>
  </si>
  <si>
    <t xml:space="preserve">Asumsi, bila dosen meminta cetak</t>
  </si>
  <si>
    <t xml:space="preserve">D. Ringkasan anggaran (baseline)</t>
  </si>
  <si>
    <t xml:space="preserve">Komponen</t>
  </si>
  <si>
    <t xml:space="preserve">Jumlah (Rp)</t>
  </si>
  <si>
    <t xml:space="preserve">A. Tenaga kerja (nilai setara)</t>
  </si>
  <si>
    <t xml:space="preserve">Cadangan/kontingensi</t>
  </si>
  <si>
    <t xml:space="preserve">TOTAL ANGGARAN PROYEK (BASELINE)</t>
  </si>
  <si>
    <t xml:space="preserve">Dari total itu, pengeluaran tunai langsung (jenis Kas)</t>
  </si>
  <si>
    <t xml:space="preserve">Nilai tenaga kerja (nonkas, tidak dibayarkan)</t>
  </si>
  <si>
    <t xml:space="preserve">Catatan: baseline ini dipakai pada Tahap 4 untuk membandingkan anggaran dengan biaya aktual.</t>
  </si>
  <si>
    <t xml:space="preserve">Risk Register — Kedai Pujasera Digital</t>
  </si>
  <si>
    <t xml:space="preserve">Skor = probabilitas × dampak (skala 1–5). Tingkat: ≥15 Tinggi, 8–14 Sedang, &lt;8 Rendah. Nilai P dan I adalah penilaian awal tim (sel biru).</t>
  </si>
  <si>
    <t xml:space="preserve">ID</t>
  </si>
  <si>
    <t xml:space="preserve">Risiko</t>
  </si>
  <si>
    <t xml:space="preserve">Penyebab</t>
  </si>
  <si>
    <t xml:space="preserve">Probabilitas (1–5)</t>
  </si>
  <si>
    <t xml:space="preserve">Dampak (1–5)</t>
  </si>
  <si>
    <t xml:space="preserve">Skor</t>
  </si>
  <si>
    <t xml:space="preserve">Tingkat</t>
  </si>
  <si>
    <t xml:space="preserve">Strategi</t>
  </si>
  <si>
    <t xml:space="preserve">Rencana mitigasi</t>
  </si>
  <si>
    <t xml:space="preserve">Pemilik risiko</t>
  </si>
  <si>
    <t xml:space="preserve">Indikator/pemicu</t>
  </si>
  <si>
    <t xml:space="preserve">R01</t>
  </si>
  <si>
    <t xml:space="preserve">Data menu, harga, dan foto kedai terlambat atau tidak lengkap</t>
  </si>
  <si>
    <t xml:space="preserve">Pemilik sibuk atau jadwal kunjungan tidak cocok</t>
  </si>
  <si>
    <t xml:space="preserve">Kurangi</t>
  </si>
  <si>
    <t xml:space="preserve">Kirim daftar isian data sejak awal, jadwalkan kunjungan di minggu pertama, siapkan data sementara agar pengembangan tidak berhenti</t>
  </si>
  <si>
    <t xml:space="preserve">Data belum lengkap pada 28 Okt</t>
  </si>
  <si>
    <t xml:space="preserve">Terbuka</t>
  </si>
  <si>
    <t xml:space="preserve">R02</t>
  </si>
  <si>
    <t xml:space="preserve">Jadwal proyek bentrok dengan kuliah dan tugas lain</t>
  </si>
  <si>
    <t xml:space="preserve">Tenggat mata kuliah lain berdekatan</t>
  </si>
  <si>
    <t xml:space="preserve">Rapat mingguan untuk menata ulang beban, beri ruang cadangan pada jadwal, utamakan jalur kritis</t>
  </si>
  <si>
    <t xml:space="preserve">Aktivitas mundur lebih dari 2 hari kerja</t>
  </si>
  <si>
    <t xml:space="preserve">R03</t>
  </si>
  <si>
    <t xml:space="preserve">Estimasi manday dan durasi terlalu optimis</t>
  </si>
  <si>
    <t xml:space="preserve">Perkiraan O, M, P belum teruji</t>
  </si>
  <si>
    <t xml:space="preserve">2.6, 2.3</t>
  </si>
  <si>
    <t xml:space="preserve">Pakai PERT tiga titik, tinjau tiap minggu, perbarui estimasi pada Tahap 4</t>
  </si>
  <si>
    <t xml:space="preserve">Manday aktual melebihi estimasi 20%</t>
  </si>
  <si>
    <t xml:space="preserve">R04</t>
  </si>
  <si>
    <t xml:space="preserve">Perubahan ruang lingkup (mis. pemilik meminta pemesanan online)</t>
  </si>
  <si>
    <t xml:space="preserve">Harapan pemilik berkembang di tengah proyek</t>
  </si>
  <si>
    <t xml:space="preserve">3.2, 4.x</t>
  </si>
  <si>
    <t xml:space="preserve">Hindari</t>
  </si>
  <si>
    <t xml:space="preserve">Catat sebagai permintaan perubahan, nilai dampak waktu dan biaya, putuskan bersama dosen; tetap pada ruang lingkup Project Charter</t>
  </si>
  <si>
    <t xml:space="preserve">Ada permintaan fitur di luar charter</t>
  </si>
  <si>
    <t xml:space="preserve">R05</t>
  </si>
  <si>
    <t xml:space="preserve">Anggota berhalangan (sakit atau keperluan keluarga)</t>
  </si>
  <si>
    <t xml:space="preserve">Kondisi tak terduga</t>
  </si>
  <si>
    <t xml:space="preserve">Dokumentasikan pekerjaan di GitHub, tentukan anggota pendukung tiap tugas (lihat matriks RACI)</t>
  </si>
  <si>
    <t xml:space="preserve">Anggota tidak aktif lebih dari 3 hari</t>
  </si>
  <si>
    <t xml:space="preserve">R06</t>
  </si>
  <si>
    <t xml:space="preserve">Cacat ditemukan banyak saat pengujian dan mepet tenggat</t>
  </si>
  <si>
    <t xml:space="preserve">Pengujian baru dilakukan di akhir</t>
  </si>
  <si>
    <t xml:space="preserve">6.2, 6.3</t>
  </si>
  <si>
    <t xml:space="preserve">Uji bertahap sejak 5.2, sisakan 2 hari perbaikan sebelum penutupan</t>
  </si>
  <si>
    <t xml:space="preserve">Lebih dari 10 temuan pada 6.2</t>
  </si>
  <si>
    <t xml:space="preserve">R07</t>
  </si>
  <si>
    <t xml:space="preserve">Anggota belum terbiasa Git/GitHub sehingga berkas tertimpa atau konflik</t>
  </si>
  <si>
    <t xml:space="preserve">Pengalaman Git terbatas</t>
  </si>
  <si>
    <t xml:space="preserve">Latihan bersama, aturan branch dan pull request, commit kecil dan sering</t>
  </si>
  <si>
    <t xml:space="preserve">Konflik penggabungan berulang</t>
  </si>
  <si>
    <t xml:space="preserve">R08</t>
  </si>
  <si>
    <t xml:space="preserve">Koneksi internet tidak stabil saat unggah atau rapat daring</t>
  </si>
  <si>
    <t xml:space="preserve">Gangguan jaringan</t>
  </si>
  <si>
    <t xml:space="preserve">Terima</t>
  </si>
  <si>
    <t xml:space="preserve">Commit lokal lalu push saat koneksi baik, rapat tatap muka bila perlu</t>
  </si>
  <si>
    <t xml:space="preserve">Unggah gagal lebih dari 2 kali</t>
  </si>
  <si>
    <t xml:space="preserve">R09</t>
  </si>
  <si>
    <t xml:space="preserve">Menu atau harga berubah setelah data dikumpulkan</t>
  </si>
  <si>
    <t xml:space="preserve">Penyesuaian harga oleh pemilik</t>
  </si>
  <si>
    <t xml:space="preserve">Konfirmasi ulang sebelum pemasukan konten, rancang konten agar mudah diperbarui</t>
  </si>
  <si>
    <t xml:space="preserve">Pemilik menyebut perubahan harga</t>
  </si>
  <si>
    <t xml:space="preserve">R10</t>
  </si>
  <si>
    <t xml:space="preserve">Harapan pemilik berbeda dengan rancangan tim</t>
  </si>
  <si>
    <t xml:space="preserve">Rancangan tidak ditunjukkan lebih awal</t>
  </si>
  <si>
    <t xml:space="preserve">4.2, 6.4</t>
  </si>
  <si>
    <t xml:space="preserve">Tunjukkan wireframe lebih awal dan minta persetujuan sebelum pengembangan</t>
  </si>
  <si>
    <t xml:space="preserve">Pemilik meminta perubahan besar pada tampilan</t>
  </si>
  <si>
    <t xml:space="preserve">R11</t>
  </si>
  <si>
    <t xml:space="preserve">Berkas lokal hilang atau rusak</t>
  </si>
  <si>
    <t xml:space="preserve">Kerusakan perangkat atau salah hapus</t>
  </si>
  <si>
    <t xml:space="preserve">Simpan di GitHub dan cadangan di penyimpanan daring</t>
  </si>
  <si>
    <t xml:space="preserve">Berkas belum ter-push lebih dari 3 hari</t>
  </si>
  <si>
    <t xml:space="preserve">R12</t>
  </si>
  <si>
    <t xml:space="preserve">Foto produk kurang berkualitas</t>
  </si>
  <si>
    <t xml:space="preserve">Pencahayaan dan latar tidak sesuai</t>
  </si>
  <si>
    <t xml:space="preserve">Panduan sederhana pencahayaan, ambil ulang foto bila perlu</t>
  </si>
  <si>
    <t xml:space="preserve">Foto buram atau gelap</t>
  </si>
  <si>
    <t xml:space="preserve">R13</t>
  </si>
  <si>
    <t xml:space="preserve">Layanan hosting gratis tidak tersedia atau bermasalah</t>
  </si>
  <si>
    <t xml:space="preserve">Kebijakan layanan berubah</t>
  </si>
  <si>
    <t xml:space="preserve">Siapkan alternatif hosting gratis lain</t>
  </si>
  <si>
    <t xml:space="preserve">Situs tidak bisa diakses</t>
  </si>
  <si>
    <t xml:space="preserve">Jumlah risiko tingkat Tinggi</t>
  </si>
  <si>
    <t xml:space="preserve">Jumlah risiko tingkat Sedang</t>
  </si>
  <si>
    <t xml:space="preserve">Jumlah risiko tingkat Rendah</t>
  </si>
  <si>
    <t xml:space="preserve">Strategi: Hindari = ubah rencana agar risiko tidak terjadi; Kurangi = turunkan peluang/dampak; Terima = dipantau saja. Status risiko diperbarui pada Tahap 4.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</si>
</sst>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/mm/yyyy"/>
    <numFmt numFmtId="166" formatCode="0"/>
    <numFmt numFmtId="167" formatCode="d"/>
    <numFmt numFmtId="168" formatCode="0.00"/>
    <numFmt numFmtId="169" formatCode="0.0"/>
    <numFmt numFmtId="170" formatCode="0.00;\-0.00;\-"/>
    <numFmt numFmtId="171" formatCode="0.0%"/>
    <numFmt numFmtId="172" formatCode="&quot;Rp &quot;#,##0;&quot;(Rp &quot;#,##0\);\-"/>
    <numFmt numFmtId="173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47A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0"/>
      <color rgb="FF26A69A"/>
      <name val="Arial"/>
      <family val="0"/>
      <charset val="1"/>
    </font>
    <font>
      <b val="true"/>
      <sz val="10"/>
      <color rgb="FF0D2A6B"/>
      <name val="Arial"/>
      <family val="0"/>
      <charset val="1"/>
    </font>
    <font>
      <b val="true"/>
      <sz val="10"/>
      <color rgb="FFE53935"/>
      <name val="Arial"/>
      <family val="0"/>
      <charset val="1"/>
    </font>
    <font>
      <sz val="8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565C0"/>
        <bgColor rgb="FF0D47A1"/>
      </patternFill>
    </fill>
    <fill>
      <patternFill patternType="solid">
        <fgColor rgb="FFDCEBFA"/>
        <bgColor rgb="FFECEFF1"/>
      </patternFill>
    </fill>
    <fill>
      <patternFill patternType="solid">
        <fgColor rgb="FFEEF4FB"/>
        <bgColor rgb="FFECEF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 diagonalUp="false" diagonalDown="false">
      <left style="thin">
        <color rgb="FFB0BEC5"/>
      </left>
      <right/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0D2A6B"/>
        </patternFill>
      </fill>
    </dxf>
    <dxf>
      <fill>
        <patternFill>
          <bgColor rgb="FF26A69A"/>
        </patternFill>
      </fill>
    </dxf>
    <dxf>
      <fill>
        <patternFill>
          <bgColor rgb="FF1565C0"/>
        </patternFill>
      </fill>
    </dxf>
    <dxf>
      <fill>
        <patternFill>
          <bgColor rgb="FFECEFF1"/>
        </patternFill>
      </fill>
    </dxf>
    <dxf>
      <fill>
        <patternFill>
          <bgColor rgb="FFF8B4B4"/>
        </patternFill>
      </fill>
    </dxf>
    <dxf>
      <fill>
        <patternFill>
          <bgColor rgb="FFFFE08A"/>
        </patternFill>
      </fill>
    </dxf>
    <dxf>
      <fill>
        <patternFill>
          <bgColor rgb="FFB7E4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EEF4FB"/>
      <rgbColor rgb="FFDCEBFA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FF1"/>
      <rgbColor rgb="FFB7E4C7"/>
      <rgbColor rgb="FFFFFF99"/>
      <rgbColor rgb="FF99CCFF"/>
      <rgbColor rgb="FFF8B4B4"/>
      <rgbColor rgb="FFCC99FF"/>
      <rgbColor rgb="FFFFE08A"/>
      <rgbColor rgb="FF3366FF"/>
      <rgbColor rgb="FF33CCCC"/>
      <rgbColor rgb="FF99CC00"/>
      <rgbColor rgb="FFFFCC00"/>
      <rgbColor rgb="FFFF9900"/>
      <rgbColor rgb="FFE53935"/>
      <rgbColor rgb="FF555555"/>
      <rgbColor rgb="FF969696"/>
      <rgbColor rgb="FF0D2A6B"/>
      <rgbColor rgb="FF26A69A"/>
      <rgbColor rgb="FF003300"/>
      <rgbColor rgb="FF333300"/>
      <rgbColor rgb="FF993300"/>
      <rgbColor rgb="FF993366"/>
      <rgbColor rgb="FF0D47A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5" t="s">
        <v>4</v>
      </c>
      <c r="C6" s="6" t="n">
        <v>46314</v>
      </c>
      <c r="D6" s="2" t="s">
        <v>5</v>
      </c>
    </row>
    <row r="8" customFormat="false" ht="15" hidden="false" customHeight="false" outlineLevel="0" collapsed="false">
      <c r="B8" s="3" t="s">
        <v>6</v>
      </c>
    </row>
    <row r="11" customFormat="false" ht="15" hidden="false" customHeight="false" outlineLevel="0" collapsed="false">
      <c r="B11" s="7" t="s">
        <v>7</v>
      </c>
      <c r="C11" s="7" t="s">
        <v>8</v>
      </c>
      <c r="D11" s="7" t="s">
        <v>9</v>
      </c>
      <c r="E11" s="7" t="s">
        <v>10</v>
      </c>
      <c r="F11" s="7" t="s">
        <v>11</v>
      </c>
    </row>
    <row r="12" customFormat="false" ht="15" hidden="false" customHeight="false" outlineLevel="0" collapsed="false">
      <c r="B12" s="6" t="n">
        <v>46319</v>
      </c>
      <c r="C12" s="8" t="s">
        <v>12</v>
      </c>
      <c r="D12" s="9" t="n">
        <f aca="false">'Jadwal Gantt'!H12</f>
        <v>46318</v>
      </c>
      <c r="E12" s="10" t="n">
        <f aca="false">B12-D12</f>
        <v>1</v>
      </c>
      <c r="F12" s="11" t="str">
        <f aca="false">IF(D12&lt;=B12,"Sesuai tenggat","Melewati tenggat")</f>
        <v>Sesuai tenggat</v>
      </c>
    </row>
    <row r="13" customFormat="false" ht="15" hidden="false" customHeight="false" outlineLevel="0" collapsed="false">
      <c r="B13" s="6" t="n">
        <v>46326</v>
      </c>
      <c r="C13" s="8" t="s">
        <v>13</v>
      </c>
      <c r="D13" s="9" t="n">
        <f aca="false">MAX('Jadwal Gantt'!H19,'Jadwal Gantt'!H23,'Jadwal Gantt'!H28)</f>
        <v>46325</v>
      </c>
      <c r="E13" s="10" t="n">
        <f aca="false">B13-D13</f>
        <v>1</v>
      </c>
      <c r="F13" s="11" t="str">
        <f aca="false">IF(D13&lt;=B13,"Sesuai tenggat","Melewati tenggat")</f>
        <v>Sesuai tenggat</v>
      </c>
    </row>
    <row r="14" customFormat="false" ht="15" hidden="false" customHeight="false" outlineLevel="0" collapsed="false">
      <c r="B14" s="6" t="n">
        <v>46340</v>
      </c>
      <c r="C14" s="8" t="s">
        <v>14</v>
      </c>
      <c r="D14" s="9" t="n">
        <f aca="false">'Jadwal Gantt'!H47</f>
        <v>46339</v>
      </c>
      <c r="E14" s="10" t="n">
        <f aca="false">B14-D14</f>
        <v>1</v>
      </c>
      <c r="F14" s="11" t="str">
        <f aca="false">IF(D14&lt;=B14,"Sesuai tenggat","Melewati tenggat")</f>
        <v>Sesuai tenggat</v>
      </c>
    </row>
    <row r="15" customFormat="false" ht="15" hidden="false" customHeight="false" outlineLevel="0" collapsed="false">
      <c r="B15" s="6" t="n">
        <v>46354</v>
      </c>
      <c r="C15" s="8" t="s">
        <v>15</v>
      </c>
      <c r="D15" s="9" t="n">
        <f aca="false">MAX('Jadwal Gantt'!H37,'Jadwal Gantt'!H48)</f>
        <v>46353</v>
      </c>
      <c r="E15" s="10" t="n">
        <f aca="false">B15-D15</f>
        <v>1</v>
      </c>
      <c r="F15" s="11" t="str">
        <f aca="false">IF(D15&lt;=B15,"Sesuai tenggat","Melewati tenggat")</f>
        <v>Sesuai tenggat</v>
      </c>
    </row>
    <row r="16" customFormat="false" ht="15" hidden="false" customHeight="false" outlineLevel="0" collapsed="false">
      <c r="B16" s="2" t="s">
        <v>16</v>
      </c>
    </row>
    <row r="18" customFormat="false" ht="15" hidden="false" customHeight="false" outlineLevel="0" collapsed="false">
      <c r="B18" s="3" t="s">
        <v>6</v>
      </c>
    </row>
    <row r="19" customFormat="false" ht="15" hidden="false" customHeight="false" outlineLevel="0" collapsed="false">
      <c r="B19" s="5" t="s">
        <v>17</v>
      </c>
      <c r="C19" s="8" t="s">
        <v>18</v>
      </c>
      <c r="D19" s="8"/>
      <c r="E19" s="8"/>
      <c r="F19" s="8"/>
    </row>
    <row r="20" customFormat="false" ht="15" hidden="false" customHeight="false" outlineLevel="0" collapsed="false">
      <c r="B20" s="5" t="s">
        <v>19</v>
      </c>
      <c r="C20" s="8" t="s">
        <v>20</v>
      </c>
      <c r="D20" s="8"/>
      <c r="E20" s="8"/>
      <c r="F20" s="8"/>
    </row>
    <row r="21" customFormat="false" ht="15" hidden="false" customHeight="false" outlineLevel="0" collapsed="false">
      <c r="B21" s="5" t="s">
        <v>21</v>
      </c>
      <c r="C21" s="8" t="s">
        <v>22</v>
      </c>
      <c r="D21" s="8"/>
      <c r="E21" s="8"/>
      <c r="F21" s="8"/>
    </row>
    <row r="22" customFormat="false" ht="15" hidden="false" customHeight="false" outlineLevel="0" collapsed="false">
      <c r="B22" s="5" t="s">
        <v>23</v>
      </c>
      <c r="C22" s="8" t="s">
        <v>24</v>
      </c>
      <c r="D22" s="8"/>
      <c r="E22" s="8"/>
      <c r="F22" s="8"/>
    </row>
    <row r="23" customFormat="false" ht="15" hidden="false" customHeight="false" outlineLevel="0" collapsed="false">
      <c r="B23" s="5" t="s">
        <v>25</v>
      </c>
      <c r="C23" s="8" t="s">
        <v>26</v>
      </c>
      <c r="D23" s="8"/>
      <c r="E23" s="8"/>
      <c r="F23" s="8"/>
    </row>
    <row r="25" customFormat="false" ht="15" hidden="false" customHeight="false" outlineLevel="0" collapsed="false">
      <c r="B25" s="3" t="s">
        <v>27</v>
      </c>
    </row>
    <row r="26" customFormat="false" ht="27.75" hidden="false" customHeight="true" outlineLevel="0" collapsed="false">
      <c r="B26" s="12" t="n">
        <v>1</v>
      </c>
      <c r="C26" s="13" t="s">
        <v>28</v>
      </c>
      <c r="D26" s="13"/>
      <c r="E26" s="13"/>
      <c r="F26" s="13"/>
    </row>
    <row r="27" customFormat="false" ht="27.75" hidden="false" customHeight="true" outlineLevel="0" collapsed="false">
      <c r="B27" s="12" t="n">
        <v>2</v>
      </c>
      <c r="C27" s="13" t="s">
        <v>29</v>
      </c>
      <c r="D27" s="13"/>
      <c r="E27" s="13"/>
      <c r="F27" s="13"/>
    </row>
    <row r="28" customFormat="false" ht="27.75" hidden="false" customHeight="true" outlineLevel="0" collapsed="false">
      <c r="B28" s="12" t="n">
        <v>3</v>
      </c>
      <c r="C28" s="13" t="s">
        <v>30</v>
      </c>
      <c r="D28" s="13"/>
      <c r="E28" s="13"/>
      <c r="F28" s="13"/>
    </row>
    <row r="29" customFormat="false" ht="27.75" hidden="false" customHeight="true" outlineLevel="0" collapsed="false">
      <c r="B29" s="12" t="n">
        <v>4</v>
      </c>
      <c r="C29" s="13" t="s">
        <v>31</v>
      </c>
      <c r="D29" s="13"/>
      <c r="E29" s="13"/>
      <c r="F29" s="13"/>
    </row>
    <row r="30" customFormat="false" ht="27.75" hidden="false" customHeight="true" outlineLevel="0" collapsed="false">
      <c r="B30" s="12" t="n">
        <v>5</v>
      </c>
      <c r="C30" s="13" t="s">
        <v>32</v>
      </c>
      <c r="D30" s="13"/>
      <c r="E30" s="13"/>
      <c r="F30" s="13"/>
    </row>
    <row r="31" customFormat="false" ht="27.75" hidden="false" customHeight="true" outlineLevel="0" collapsed="false">
      <c r="B31" s="12" t="n">
        <v>6</v>
      </c>
      <c r="C31" s="13" t="s">
        <v>33</v>
      </c>
      <c r="D31" s="13"/>
      <c r="E31" s="13"/>
      <c r="F31" s="13"/>
    </row>
    <row r="32" customFormat="false" ht="27.75" hidden="false" customHeight="true" outlineLevel="0" collapsed="false">
      <c r="B32" s="12" t="n">
        <v>7</v>
      </c>
      <c r="C32" s="13" t="s">
        <v>34</v>
      </c>
      <c r="D32" s="13"/>
      <c r="E32" s="13"/>
      <c r="F32" s="13"/>
    </row>
    <row r="33" customFormat="false" ht="27.75" hidden="false" customHeight="true" outlineLevel="0" collapsed="false">
      <c r="B33" s="12" t="n">
        <v>8</v>
      </c>
      <c r="C33" s="13" t="s">
        <v>35</v>
      </c>
      <c r="D33" s="13"/>
      <c r="E33" s="13"/>
      <c r="F33" s="13"/>
    </row>
    <row r="35" customFormat="false" ht="15" hidden="false" customHeight="false" outlineLevel="0" collapsed="false">
      <c r="B35" s="3" t="s">
        <v>36</v>
      </c>
    </row>
    <row r="36" customFormat="false" ht="15" hidden="false" customHeight="false" outlineLevel="0" collapsed="false">
      <c r="B36" s="14" t="s">
        <v>37</v>
      </c>
      <c r="C36" s="14"/>
      <c r="D36" s="14"/>
    </row>
    <row r="37" customFormat="false" ht="15" hidden="false" customHeight="false" outlineLevel="0" collapsed="false">
      <c r="B37" s="8" t="s">
        <v>38</v>
      </c>
      <c r="C37" s="8"/>
      <c r="D37" s="8"/>
    </row>
    <row r="38" customFormat="false" ht="15" hidden="false" customHeight="false" outlineLevel="0" collapsed="false">
      <c r="B38" s="15" t="s">
        <v>39</v>
      </c>
      <c r="C38" s="15"/>
      <c r="D38" s="15"/>
    </row>
    <row r="39" customFormat="false" ht="15" hidden="false" customHeight="false" outlineLevel="0" collapsed="false">
      <c r="B39" s="16" t="s">
        <v>40</v>
      </c>
      <c r="C39" s="16"/>
      <c r="D39" s="16"/>
    </row>
  </sheetData>
  <mergeCells count="17">
    <mergeCell ref="C19:F19"/>
    <mergeCell ref="C20:F20"/>
    <mergeCell ref="C21:F21"/>
    <mergeCell ref="C22:F22"/>
    <mergeCell ref="C23:F23"/>
    <mergeCell ref="C26:F26"/>
    <mergeCell ref="C27:F27"/>
    <mergeCell ref="C28:F28"/>
    <mergeCell ref="C29:F29"/>
    <mergeCell ref="C30:F30"/>
    <mergeCell ref="C31:F31"/>
    <mergeCell ref="C32:F32"/>
    <mergeCell ref="C33:F33"/>
    <mergeCell ref="B36:D36"/>
    <mergeCell ref="B37:D37"/>
    <mergeCell ref="B38:D38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X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6" topLeftCell="J7" activePane="bottomRight" state="frozen"/>
      <selection pane="topLeft" activeCell="A1" activeCellId="0" sqref="A1"/>
      <selection pane="topRight" activeCell="J1" activeCellId="0" sqref="J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52"/>
    <col collapsed="false" customWidth="true" hidden="false" outlineLevel="0" max="4" min="4" style="0" width="17"/>
    <col collapsed="false" customWidth="true" hidden="false" outlineLevel="0" max="5" min="5" style="0" width="10"/>
    <col collapsed="false" customWidth="true" hidden="false" outlineLevel="0" max="6" min="6" style="0" width="19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50" min="10" style="0" width="3.1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true" outlineLevel="0" collapsed="false">
      <c r="A4" s="3" t="s">
        <v>43</v>
      </c>
      <c r="C4" s="17" t="s">
        <v>44</v>
      </c>
      <c r="D4" s="18" t="s">
        <v>45</v>
      </c>
      <c r="J4" s="19" t="s">
        <v>46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 t="s">
        <v>47</v>
      </c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</row>
    <row r="5" customFormat="false" ht="15" hidden="false" customHeight="false" outlineLevel="0" collapsed="false">
      <c r="C5" s="20" t="s">
        <v>48</v>
      </c>
      <c r="D5" s="21" t="s">
        <v>49</v>
      </c>
      <c r="J5" s="22" t="str">
        <f aca="false">CHOOSE(WEEKDAY(J6,2),"S","S","R","K","J","S","M")</f>
        <v>S</v>
      </c>
      <c r="K5" s="22" t="str">
        <f aca="false">CHOOSE(WEEKDAY(K6,2),"S","S","R","K","J","S","M")</f>
        <v>S</v>
      </c>
      <c r="L5" s="22" t="str">
        <f aca="false">CHOOSE(WEEKDAY(L6,2),"S","S","R","K","J","S","M")</f>
        <v>R</v>
      </c>
      <c r="M5" s="22" t="str">
        <f aca="false">CHOOSE(WEEKDAY(M6,2),"S","S","R","K","J","S","M")</f>
        <v>K</v>
      </c>
      <c r="N5" s="22" t="str">
        <f aca="false">CHOOSE(WEEKDAY(N6,2),"S","S","R","K","J","S","M")</f>
        <v>J</v>
      </c>
      <c r="O5" s="22" t="str">
        <f aca="false">CHOOSE(WEEKDAY(O6,2),"S","S","R","K","J","S","M")</f>
        <v>S</v>
      </c>
      <c r="P5" s="22" t="str">
        <f aca="false">CHOOSE(WEEKDAY(P6,2),"S","S","R","K","J","S","M")</f>
        <v>M</v>
      </c>
      <c r="Q5" s="22" t="str">
        <f aca="false">CHOOSE(WEEKDAY(Q6,2),"S","S","R","K","J","S","M")</f>
        <v>S</v>
      </c>
      <c r="R5" s="22" t="str">
        <f aca="false">CHOOSE(WEEKDAY(R6,2),"S","S","R","K","J","S","M")</f>
        <v>S</v>
      </c>
      <c r="S5" s="22" t="str">
        <f aca="false">CHOOSE(WEEKDAY(S6,2),"S","S","R","K","J","S","M")</f>
        <v>R</v>
      </c>
      <c r="T5" s="22" t="str">
        <f aca="false">CHOOSE(WEEKDAY(T6,2),"S","S","R","K","J","S","M")</f>
        <v>K</v>
      </c>
      <c r="U5" s="22" t="str">
        <f aca="false">CHOOSE(WEEKDAY(U6,2),"S","S","R","K","J","S","M")</f>
        <v>J</v>
      </c>
      <c r="V5" s="22" t="str">
        <f aca="false">CHOOSE(WEEKDAY(V6,2),"S","S","R","K","J","S","M")</f>
        <v>S</v>
      </c>
      <c r="W5" s="22" t="str">
        <f aca="false">CHOOSE(WEEKDAY(W6,2),"S","S","R","K","J","S","M")</f>
        <v>M</v>
      </c>
      <c r="X5" s="22" t="str">
        <f aca="false">CHOOSE(WEEKDAY(X6,2),"S","S","R","K","J","S","M")</f>
        <v>S</v>
      </c>
      <c r="Y5" s="22" t="str">
        <f aca="false">CHOOSE(WEEKDAY(Y6,2),"S","S","R","K","J","S","M")</f>
        <v>S</v>
      </c>
      <c r="Z5" s="22" t="str">
        <f aca="false">CHOOSE(WEEKDAY(Z6,2),"S","S","R","K","J","S","M")</f>
        <v>R</v>
      </c>
      <c r="AA5" s="22" t="str">
        <f aca="false">CHOOSE(WEEKDAY(AA6,2),"S","S","R","K","J","S","M")</f>
        <v>K</v>
      </c>
      <c r="AB5" s="22" t="str">
        <f aca="false">CHOOSE(WEEKDAY(AB6,2),"S","S","R","K","J","S","M")</f>
        <v>J</v>
      </c>
      <c r="AC5" s="22" t="str">
        <f aca="false">CHOOSE(WEEKDAY(AC6,2),"S","S","R","K","J","S","M")</f>
        <v>S</v>
      </c>
      <c r="AD5" s="22" t="str">
        <f aca="false">CHOOSE(WEEKDAY(AD6,2),"S","S","R","K","J","S","M")</f>
        <v>M</v>
      </c>
      <c r="AE5" s="22" t="str">
        <f aca="false">CHOOSE(WEEKDAY(AE6,2),"S","S","R","K","J","S","M")</f>
        <v>S</v>
      </c>
      <c r="AF5" s="22" t="str">
        <f aca="false">CHOOSE(WEEKDAY(AF6,2),"S","S","R","K","J","S","M")</f>
        <v>S</v>
      </c>
      <c r="AG5" s="22" t="str">
        <f aca="false">CHOOSE(WEEKDAY(AG6,2),"S","S","R","K","J","S","M")</f>
        <v>R</v>
      </c>
      <c r="AH5" s="22" t="str">
        <f aca="false">CHOOSE(WEEKDAY(AH6,2),"S","S","R","K","J","S","M")</f>
        <v>K</v>
      </c>
      <c r="AI5" s="22" t="str">
        <f aca="false">CHOOSE(WEEKDAY(AI6,2),"S","S","R","K","J","S","M")</f>
        <v>J</v>
      </c>
      <c r="AJ5" s="22" t="str">
        <f aca="false">CHOOSE(WEEKDAY(AJ6,2),"S","S","R","K","J","S","M")</f>
        <v>S</v>
      </c>
      <c r="AK5" s="22" t="str">
        <f aca="false">CHOOSE(WEEKDAY(AK6,2),"S","S","R","K","J","S","M")</f>
        <v>M</v>
      </c>
      <c r="AL5" s="22" t="str">
        <f aca="false">CHOOSE(WEEKDAY(AL6,2),"S","S","R","K","J","S","M")</f>
        <v>S</v>
      </c>
      <c r="AM5" s="22" t="str">
        <f aca="false">CHOOSE(WEEKDAY(AM6,2),"S","S","R","K","J","S","M")</f>
        <v>S</v>
      </c>
      <c r="AN5" s="22" t="str">
        <f aca="false">CHOOSE(WEEKDAY(AN6,2),"S","S","R","K","J","S","M")</f>
        <v>R</v>
      </c>
      <c r="AO5" s="22" t="str">
        <f aca="false">CHOOSE(WEEKDAY(AO6,2),"S","S","R","K","J","S","M")</f>
        <v>K</v>
      </c>
      <c r="AP5" s="22" t="str">
        <f aca="false">CHOOSE(WEEKDAY(AP6,2),"S","S","R","K","J","S","M")</f>
        <v>J</v>
      </c>
      <c r="AQ5" s="22" t="str">
        <f aca="false">CHOOSE(WEEKDAY(AQ6,2),"S","S","R","K","J","S","M")</f>
        <v>S</v>
      </c>
      <c r="AR5" s="22" t="str">
        <f aca="false">CHOOSE(WEEKDAY(AR6,2),"S","S","R","K","J","S","M")</f>
        <v>M</v>
      </c>
      <c r="AS5" s="22" t="str">
        <f aca="false">CHOOSE(WEEKDAY(AS6,2),"S","S","R","K","J","S","M")</f>
        <v>S</v>
      </c>
      <c r="AT5" s="22" t="str">
        <f aca="false">CHOOSE(WEEKDAY(AT6,2),"S","S","R","K","J","S","M")</f>
        <v>S</v>
      </c>
      <c r="AU5" s="22" t="str">
        <f aca="false">CHOOSE(WEEKDAY(AU6,2),"S","S","R","K","J","S","M")</f>
        <v>R</v>
      </c>
      <c r="AV5" s="22" t="str">
        <f aca="false">CHOOSE(WEEKDAY(AV6,2),"S","S","R","K","J","S","M")</f>
        <v>K</v>
      </c>
      <c r="AW5" s="22" t="str">
        <f aca="false">CHOOSE(WEEKDAY(AW6,2),"S","S","R","K","J","S","M")</f>
        <v>J</v>
      </c>
      <c r="AX5" s="22" t="str">
        <f aca="false">CHOOSE(WEEKDAY(AX6,2),"S","S","R","K","J","S","M")</f>
        <v>S</v>
      </c>
    </row>
    <row r="6" customFormat="false" ht="39.75" hidden="false" customHeight="true" outlineLevel="0" collapsed="false">
      <c r="A6" s="7" t="s">
        <v>50</v>
      </c>
      <c r="B6" s="7" t="s">
        <v>51</v>
      </c>
      <c r="C6" s="7" t="s">
        <v>52</v>
      </c>
      <c r="D6" s="7" t="s">
        <v>53</v>
      </c>
      <c r="E6" s="7" t="s">
        <v>54</v>
      </c>
      <c r="F6" s="7" t="s">
        <v>55</v>
      </c>
      <c r="G6" s="7" t="s">
        <v>56</v>
      </c>
      <c r="H6" s="7" t="s">
        <v>57</v>
      </c>
      <c r="I6" s="7" t="s">
        <v>58</v>
      </c>
      <c r="J6" s="23" t="n">
        <f aca="false">Info!$C$6</f>
        <v>46314</v>
      </c>
      <c r="K6" s="23" t="n">
        <f aca="false">J6+1</f>
        <v>46315</v>
      </c>
      <c r="L6" s="23" t="n">
        <f aca="false">K6+1</f>
        <v>46316</v>
      </c>
      <c r="M6" s="23" t="n">
        <f aca="false">L6+1</f>
        <v>46317</v>
      </c>
      <c r="N6" s="23" t="n">
        <f aca="false">M6+1</f>
        <v>46318</v>
      </c>
      <c r="O6" s="23" t="n">
        <f aca="false">N6+1</f>
        <v>46319</v>
      </c>
      <c r="P6" s="23" t="n">
        <f aca="false">O6+1</f>
        <v>46320</v>
      </c>
      <c r="Q6" s="23" t="n">
        <f aca="false">P6+1</f>
        <v>46321</v>
      </c>
      <c r="R6" s="23" t="n">
        <f aca="false">Q6+1</f>
        <v>46322</v>
      </c>
      <c r="S6" s="23" t="n">
        <f aca="false">R6+1</f>
        <v>46323</v>
      </c>
      <c r="T6" s="23" t="n">
        <f aca="false">S6+1</f>
        <v>46324</v>
      </c>
      <c r="U6" s="23" t="n">
        <f aca="false">T6+1</f>
        <v>46325</v>
      </c>
      <c r="V6" s="23" t="n">
        <f aca="false">U6+1</f>
        <v>46326</v>
      </c>
      <c r="W6" s="23" t="n">
        <f aca="false">V6+1</f>
        <v>46327</v>
      </c>
      <c r="X6" s="23" t="n">
        <f aca="false">W6+1</f>
        <v>46328</v>
      </c>
      <c r="Y6" s="23" t="n">
        <f aca="false">X6+1</f>
        <v>46329</v>
      </c>
      <c r="Z6" s="23" t="n">
        <f aca="false">Y6+1</f>
        <v>46330</v>
      </c>
      <c r="AA6" s="23" t="n">
        <f aca="false">Z6+1</f>
        <v>46331</v>
      </c>
      <c r="AB6" s="23" t="n">
        <f aca="false">AA6+1</f>
        <v>46332</v>
      </c>
      <c r="AC6" s="23" t="n">
        <f aca="false">AB6+1</f>
        <v>46333</v>
      </c>
      <c r="AD6" s="23" t="n">
        <f aca="false">AC6+1</f>
        <v>46334</v>
      </c>
      <c r="AE6" s="23" t="n">
        <f aca="false">AD6+1</f>
        <v>46335</v>
      </c>
      <c r="AF6" s="23" t="n">
        <f aca="false">AE6+1</f>
        <v>46336</v>
      </c>
      <c r="AG6" s="23" t="n">
        <f aca="false">AF6+1</f>
        <v>46337</v>
      </c>
      <c r="AH6" s="23" t="n">
        <f aca="false">AG6+1</f>
        <v>46338</v>
      </c>
      <c r="AI6" s="23" t="n">
        <f aca="false">AH6+1</f>
        <v>46339</v>
      </c>
      <c r="AJ6" s="23" t="n">
        <f aca="false">AI6+1</f>
        <v>46340</v>
      </c>
      <c r="AK6" s="23" t="n">
        <f aca="false">AJ6+1</f>
        <v>46341</v>
      </c>
      <c r="AL6" s="23" t="n">
        <f aca="false">AK6+1</f>
        <v>46342</v>
      </c>
      <c r="AM6" s="23" t="n">
        <f aca="false">AL6+1</f>
        <v>46343</v>
      </c>
      <c r="AN6" s="23" t="n">
        <f aca="false">AM6+1</f>
        <v>46344</v>
      </c>
      <c r="AO6" s="23" t="n">
        <f aca="false">AN6+1</f>
        <v>46345</v>
      </c>
      <c r="AP6" s="23" t="n">
        <f aca="false">AO6+1</f>
        <v>46346</v>
      </c>
      <c r="AQ6" s="23" t="n">
        <f aca="false">AP6+1</f>
        <v>46347</v>
      </c>
      <c r="AR6" s="23" t="n">
        <f aca="false">AQ6+1</f>
        <v>46348</v>
      </c>
      <c r="AS6" s="23" t="n">
        <f aca="false">AR6+1</f>
        <v>46349</v>
      </c>
      <c r="AT6" s="23" t="n">
        <f aca="false">AS6+1</f>
        <v>46350</v>
      </c>
      <c r="AU6" s="23" t="n">
        <f aca="false">AT6+1</f>
        <v>46351</v>
      </c>
      <c r="AV6" s="23" t="n">
        <f aca="false">AU6+1</f>
        <v>46352</v>
      </c>
      <c r="AW6" s="23" t="n">
        <f aca="false">AV6+1</f>
        <v>46353</v>
      </c>
      <c r="AX6" s="23" t="n">
        <f aca="false">AW6+1</f>
        <v>46354</v>
      </c>
    </row>
    <row r="7" customFormat="false" ht="15" hidden="false" customHeight="false" outlineLevel="0" collapsed="false">
      <c r="A7" s="24"/>
      <c r="B7" s="25"/>
      <c r="C7" s="24" t="s">
        <v>59</v>
      </c>
      <c r="D7" s="25"/>
      <c r="E7" s="25"/>
      <c r="F7" s="25"/>
      <c r="G7" s="25"/>
      <c r="H7" s="25"/>
      <c r="I7" s="26" t="s">
        <v>60</v>
      </c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</row>
    <row r="8" customFormat="false" ht="15" hidden="false" customHeight="false" outlineLevel="0" collapsed="false">
      <c r="A8" s="12" t="n">
        <v>1</v>
      </c>
      <c r="B8" s="28" t="s">
        <v>61</v>
      </c>
      <c r="C8" s="8" t="s">
        <v>62</v>
      </c>
      <c r="D8" s="8" t="s">
        <v>63</v>
      </c>
      <c r="E8" s="8"/>
      <c r="F8" s="8" t="s">
        <v>64</v>
      </c>
      <c r="G8" s="9" t="n">
        <f aca="false">Info!$B$12</f>
        <v>46319</v>
      </c>
      <c r="H8" s="29" t="n">
        <f aca="false">G8</f>
        <v>46319</v>
      </c>
      <c r="I8" s="28" t="s">
        <v>65</v>
      </c>
      <c r="J8" s="30" t="str">
        <f aca="false">IF(J$6=$G8,"◆","")</f>
        <v/>
      </c>
      <c r="K8" s="30" t="str">
        <f aca="false">IF(K$6=$G8,"◆","")</f>
        <v/>
      </c>
      <c r="L8" s="30" t="str">
        <f aca="false">IF(L$6=$G8,"◆","")</f>
        <v/>
      </c>
      <c r="M8" s="30" t="str">
        <f aca="false">IF(M$6=$G8,"◆","")</f>
        <v/>
      </c>
      <c r="N8" s="30" t="str">
        <f aca="false">IF(N$6=$G8,"◆","")</f>
        <v/>
      </c>
      <c r="O8" s="30" t="str">
        <f aca="false">IF(O$6=$G8,"◆","")</f>
        <v>◆</v>
      </c>
      <c r="P8" s="30" t="str">
        <f aca="false">IF(P$6=$G8,"◆","")</f>
        <v/>
      </c>
      <c r="Q8" s="30" t="str">
        <f aca="false">IF(Q$6=$G8,"◆","")</f>
        <v/>
      </c>
      <c r="R8" s="30" t="str">
        <f aca="false">IF(R$6=$G8,"◆","")</f>
        <v/>
      </c>
      <c r="S8" s="30" t="str">
        <f aca="false">IF(S$6=$G8,"◆","")</f>
        <v/>
      </c>
      <c r="T8" s="30" t="str">
        <f aca="false">IF(T$6=$G8,"◆","")</f>
        <v/>
      </c>
      <c r="U8" s="30" t="str">
        <f aca="false">IF(U$6=$G8,"◆","")</f>
        <v/>
      </c>
      <c r="V8" s="30" t="str">
        <f aca="false">IF(V$6=$G8,"◆","")</f>
        <v/>
      </c>
      <c r="W8" s="30" t="str">
        <f aca="false">IF(W$6=$G8,"◆","")</f>
        <v/>
      </c>
      <c r="X8" s="30" t="str">
        <f aca="false">IF(X$6=$G8,"◆","")</f>
        <v/>
      </c>
      <c r="Y8" s="30" t="str">
        <f aca="false">IF(Y$6=$G8,"◆","")</f>
        <v/>
      </c>
      <c r="Z8" s="30" t="str">
        <f aca="false">IF(Z$6=$G8,"◆","")</f>
        <v/>
      </c>
      <c r="AA8" s="30" t="str">
        <f aca="false">IF(AA$6=$G8,"◆","")</f>
        <v/>
      </c>
      <c r="AB8" s="30" t="str">
        <f aca="false">IF(AB$6=$G8,"◆","")</f>
        <v/>
      </c>
      <c r="AC8" s="30" t="str">
        <f aca="false">IF(AC$6=$G8,"◆","")</f>
        <v/>
      </c>
      <c r="AD8" s="30" t="str">
        <f aca="false">IF(AD$6=$G8,"◆","")</f>
        <v/>
      </c>
      <c r="AE8" s="30" t="str">
        <f aca="false">IF(AE$6=$G8,"◆","")</f>
        <v/>
      </c>
      <c r="AF8" s="30" t="str">
        <f aca="false">IF(AF$6=$G8,"◆","")</f>
        <v/>
      </c>
      <c r="AG8" s="30" t="str">
        <f aca="false">IF(AG$6=$G8,"◆","")</f>
        <v/>
      </c>
      <c r="AH8" s="30" t="str">
        <f aca="false">IF(AH$6=$G8,"◆","")</f>
        <v/>
      </c>
      <c r="AI8" s="30" t="str">
        <f aca="false">IF(AI$6=$G8,"◆","")</f>
        <v/>
      </c>
      <c r="AJ8" s="30" t="str">
        <f aca="false">IF(AJ$6=$G8,"◆","")</f>
        <v/>
      </c>
      <c r="AK8" s="30" t="str">
        <f aca="false">IF(AK$6=$G8,"◆","")</f>
        <v/>
      </c>
      <c r="AL8" s="30" t="str">
        <f aca="false">IF(AL$6=$G8,"◆","")</f>
        <v/>
      </c>
      <c r="AM8" s="30" t="str">
        <f aca="false">IF(AM$6=$G8,"◆","")</f>
        <v/>
      </c>
      <c r="AN8" s="30" t="str">
        <f aca="false">IF(AN$6=$G8,"◆","")</f>
        <v/>
      </c>
      <c r="AO8" s="30" t="str">
        <f aca="false">IF(AO$6=$G8,"◆","")</f>
        <v/>
      </c>
      <c r="AP8" s="30" t="str">
        <f aca="false">IF(AP$6=$G8,"◆","")</f>
        <v/>
      </c>
      <c r="AQ8" s="30" t="str">
        <f aca="false">IF(AQ$6=$G8,"◆","")</f>
        <v/>
      </c>
      <c r="AR8" s="30" t="str">
        <f aca="false">IF(AR$6=$G8,"◆","")</f>
        <v/>
      </c>
      <c r="AS8" s="30" t="str">
        <f aca="false">IF(AS$6=$G8,"◆","")</f>
        <v/>
      </c>
      <c r="AT8" s="30" t="str">
        <f aca="false">IF(AT$6=$G8,"◆","")</f>
        <v/>
      </c>
      <c r="AU8" s="30" t="str">
        <f aca="false">IF(AU$6=$G8,"◆","")</f>
        <v/>
      </c>
      <c r="AV8" s="30" t="str">
        <f aca="false">IF(AV$6=$G8,"◆","")</f>
        <v/>
      </c>
      <c r="AW8" s="30" t="str">
        <f aca="false">IF(AW$6=$G8,"◆","")</f>
        <v/>
      </c>
      <c r="AX8" s="30" t="str">
        <f aca="false">IF(AX$6=$G8,"◆","")</f>
        <v/>
      </c>
    </row>
    <row r="9" customFormat="false" ht="15" hidden="false" customHeight="false" outlineLevel="0" collapsed="false">
      <c r="A9" s="12" t="n">
        <v>2</v>
      </c>
      <c r="B9" s="28" t="s">
        <v>66</v>
      </c>
      <c r="C9" s="8" t="s">
        <v>67</v>
      </c>
      <c r="D9" s="8" t="s">
        <v>63</v>
      </c>
      <c r="E9" s="8"/>
      <c r="F9" s="8" t="s">
        <v>64</v>
      </c>
      <c r="G9" s="9" t="n">
        <f aca="false">Info!$B$13</f>
        <v>46326</v>
      </c>
      <c r="H9" s="29" t="n">
        <f aca="false">G9</f>
        <v>46326</v>
      </c>
      <c r="I9" s="28" t="s">
        <v>65</v>
      </c>
      <c r="J9" s="30" t="str">
        <f aca="false">IF(J$6=$G9,"◆","")</f>
        <v/>
      </c>
      <c r="K9" s="30" t="str">
        <f aca="false">IF(K$6=$G9,"◆","")</f>
        <v/>
      </c>
      <c r="L9" s="30" t="str">
        <f aca="false">IF(L$6=$G9,"◆","")</f>
        <v/>
      </c>
      <c r="M9" s="30" t="str">
        <f aca="false">IF(M$6=$G9,"◆","")</f>
        <v/>
      </c>
      <c r="N9" s="30" t="str">
        <f aca="false">IF(N$6=$G9,"◆","")</f>
        <v/>
      </c>
      <c r="O9" s="30" t="str">
        <f aca="false">IF(O$6=$G9,"◆","")</f>
        <v/>
      </c>
      <c r="P9" s="30" t="str">
        <f aca="false">IF(P$6=$G9,"◆","")</f>
        <v/>
      </c>
      <c r="Q9" s="30" t="str">
        <f aca="false">IF(Q$6=$G9,"◆","")</f>
        <v/>
      </c>
      <c r="R9" s="30" t="str">
        <f aca="false">IF(R$6=$G9,"◆","")</f>
        <v/>
      </c>
      <c r="S9" s="30" t="str">
        <f aca="false">IF(S$6=$G9,"◆","")</f>
        <v/>
      </c>
      <c r="T9" s="30" t="str">
        <f aca="false">IF(T$6=$G9,"◆","")</f>
        <v/>
      </c>
      <c r="U9" s="30" t="str">
        <f aca="false">IF(U$6=$G9,"◆","")</f>
        <v/>
      </c>
      <c r="V9" s="30" t="str">
        <f aca="false">IF(V$6=$G9,"◆","")</f>
        <v>◆</v>
      </c>
      <c r="W9" s="30" t="str">
        <f aca="false">IF(W$6=$G9,"◆","")</f>
        <v/>
      </c>
      <c r="X9" s="30" t="str">
        <f aca="false">IF(X$6=$G9,"◆","")</f>
        <v/>
      </c>
      <c r="Y9" s="30" t="str">
        <f aca="false">IF(Y$6=$G9,"◆","")</f>
        <v/>
      </c>
      <c r="Z9" s="30" t="str">
        <f aca="false">IF(Z$6=$G9,"◆","")</f>
        <v/>
      </c>
      <c r="AA9" s="30" t="str">
        <f aca="false">IF(AA$6=$G9,"◆","")</f>
        <v/>
      </c>
      <c r="AB9" s="30" t="str">
        <f aca="false">IF(AB$6=$G9,"◆","")</f>
        <v/>
      </c>
      <c r="AC9" s="30" t="str">
        <f aca="false">IF(AC$6=$G9,"◆","")</f>
        <v/>
      </c>
      <c r="AD9" s="30" t="str">
        <f aca="false">IF(AD$6=$G9,"◆","")</f>
        <v/>
      </c>
      <c r="AE9" s="30" t="str">
        <f aca="false">IF(AE$6=$G9,"◆","")</f>
        <v/>
      </c>
      <c r="AF9" s="30" t="str">
        <f aca="false">IF(AF$6=$G9,"◆","")</f>
        <v/>
      </c>
      <c r="AG9" s="30" t="str">
        <f aca="false">IF(AG$6=$G9,"◆","")</f>
        <v/>
      </c>
      <c r="AH9" s="30" t="str">
        <f aca="false">IF(AH$6=$G9,"◆","")</f>
        <v/>
      </c>
      <c r="AI9" s="30" t="str">
        <f aca="false">IF(AI$6=$G9,"◆","")</f>
        <v/>
      </c>
      <c r="AJ9" s="30" t="str">
        <f aca="false">IF(AJ$6=$G9,"◆","")</f>
        <v/>
      </c>
      <c r="AK9" s="30" t="str">
        <f aca="false">IF(AK$6=$G9,"◆","")</f>
        <v/>
      </c>
      <c r="AL9" s="30" t="str">
        <f aca="false">IF(AL$6=$G9,"◆","")</f>
        <v/>
      </c>
      <c r="AM9" s="30" t="str">
        <f aca="false">IF(AM$6=$G9,"◆","")</f>
        <v/>
      </c>
      <c r="AN9" s="30" t="str">
        <f aca="false">IF(AN$6=$G9,"◆","")</f>
        <v/>
      </c>
      <c r="AO9" s="30" t="str">
        <f aca="false">IF(AO$6=$G9,"◆","")</f>
        <v/>
      </c>
      <c r="AP9" s="30" t="str">
        <f aca="false">IF(AP$6=$G9,"◆","")</f>
        <v/>
      </c>
      <c r="AQ9" s="30" t="str">
        <f aca="false">IF(AQ$6=$G9,"◆","")</f>
        <v/>
      </c>
      <c r="AR9" s="30" t="str">
        <f aca="false">IF(AR$6=$G9,"◆","")</f>
        <v/>
      </c>
      <c r="AS9" s="30" t="str">
        <f aca="false">IF(AS$6=$G9,"◆","")</f>
        <v/>
      </c>
      <c r="AT9" s="30" t="str">
        <f aca="false">IF(AT$6=$G9,"◆","")</f>
        <v/>
      </c>
      <c r="AU9" s="30" t="str">
        <f aca="false">IF(AU$6=$G9,"◆","")</f>
        <v/>
      </c>
      <c r="AV9" s="30" t="str">
        <f aca="false">IF(AV$6=$G9,"◆","")</f>
        <v/>
      </c>
      <c r="AW9" s="30" t="str">
        <f aca="false">IF(AW$6=$G9,"◆","")</f>
        <v/>
      </c>
      <c r="AX9" s="30" t="str">
        <f aca="false">IF(AX$6=$G9,"◆","")</f>
        <v/>
      </c>
    </row>
    <row r="10" customFormat="false" ht="15" hidden="false" customHeight="false" outlineLevel="0" collapsed="false">
      <c r="A10" s="12" t="n">
        <v>3</v>
      </c>
      <c r="B10" s="28" t="s">
        <v>68</v>
      </c>
      <c r="C10" s="8" t="s">
        <v>69</v>
      </c>
      <c r="D10" s="8" t="s">
        <v>63</v>
      </c>
      <c r="E10" s="8"/>
      <c r="F10" s="8" t="s">
        <v>64</v>
      </c>
      <c r="G10" s="9" t="n">
        <f aca="false">Info!$B$14</f>
        <v>46340</v>
      </c>
      <c r="H10" s="29" t="n">
        <f aca="false">G10</f>
        <v>46340</v>
      </c>
      <c r="I10" s="28" t="s">
        <v>65</v>
      </c>
      <c r="J10" s="30" t="str">
        <f aca="false">IF(J$6=$G10,"◆","")</f>
        <v/>
      </c>
      <c r="K10" s="30" t="str">
        <f aca="false">IF(K$6=$G10,"◆","")</f>
        <v/>
      </c>
      <c r="L10" s="30" t="str">
        <f aca="false">IF(L$6=$G10,"◆","")</f>
        <v/>
      </c>
      <c r="M10" s="30" t="str">
        <f aca="false">IF(M$6=$G10,"◆","")</f>
        <v/>
      </c>
      <c r="N10" s="30" t="str">
        <f aca="false">IF(N$6=$G10,"◆","")</f>
        <v/>
      </c>
      <c r="O10" s="30" t="str">
        <f aca="false">IF(O$6=$G10,"◆","")</f>
        <v/>
      </c>
      <c r="P10" s="30" t="str">
        <f aca="false">IF(P$6=$G10,"◆","")</f>
        <v/>
      </c>
      <c r="Q10" s="30" t="str">
        <f aca="false">IF(Q$6=$G10,"◆","")</f>
        <v/>
      </c>
      <c r="R10" s="30" t="str">
        <f aca="false">IF(R$6=$G10,"◆","")</f>
        <v/>
      </c>
      <c r="S10" s="30" t="str">
        <f aca="false">IF(S$6=$G10,"◆","")</f>
        <v/>
      </c>
      <c r="T10" s="30" t="str">
        <f aca="false">IF(T$6=$G10,"◆","")</f>
        <v/>
      </c>
      <c r="U10" s="30" t="str">
        <f aca="false">IF(U$6=$G10,"◆","")</f>
        <v/>
      </c>
      <c r="V10" s="30" t="str">
        <f aca="false">IF(V$6=$G10,"◆","")</f>
        <v/>
      </c>
      <c r="W10" s="30" t="str">
        <f aca="false">IF(W$6=$G10,"◆","")</f>
        <v/>
      </c>
      <c r="X10" s="30" t="str">
        <f aca="false">IF(X$6=$G10,"◆","")</f>
        <v/>
      </c>
      <c r="Y10" s="30" t="str">
        <f aca="false">IF(Y$6=$G10,"◆","")</f>
        <v/>
      </c>
      <c r="Z10" s="30" t="str">
        <f aca="false">IF(Z$6=$G10,"◆","")</f>
        <v/>
      </c>
      <c r="AA10" s="30" t="str">
        <f aca="false">IF(AA$6=$G10,"◆","")</f>
        <v/>
      </c>
      <c r="AB10" s="30" t="str">
        <f aca="false">IF(AB$6=$G10,"◆","")</f>
        <v/>
      </c>
      <c r="AC10" s="30" t="str">
        <f aca="false">IF(AC$6=$G10,"◆","")</f>
        <v/>
      </c>
      <c r="AD10" s="30" t="str">
        <f aca="false">IF(AD$6=$G10,"◆","")</f>
        <v/>
      </c>
      <c r="AE10" s="30" t="str">
        <f aca="false">IF(AE$6=$G10,"◆","")</f>
        <v/>
      </c>
      <c r="AF10" s="30" t="str">
        <f aca="false">IF(AF$6=$G10,"◆","")</f>
        <v/>
      </c>
      <c r="AG10" s="30" t="str">
        <f aca="false">IF(AG$6=$G10,"◆","")</f>
        <v/>
      </c>
      <c r="AH10" s="30" t="str">
        <f aca="false">IF(AH$6=$G10,"◆","")</f>
        <v/>
      </c>
      <c r="AI10" s="30" t="str">
        <f aca="false">IF(AI$6=$G10,"◆","")</f>
        <v/>
      </c>
      <c r="AJ10" s="30" t="str">
        <f aca="false">IF(AJ$6=$G10,"◆","")</f>
        <v>◆</v>
      </c>
      <c r="AK10" s="30" t="str">
        <f aca="false">IF(AK$6=$G10,"◆","")</f>
        <v/>
      </c>
      <c r="AL10" s="30" t="str">
        <f aca="false">IF(AL$6=$G10,"◆","")</f>
        <v/>
      </c>
      <c r="AM10" s="30" t="str">
        <f aca="false">IF(AM$6=$G10,"◆","")</f>
        <v/>
      </c>
      <c r="AN10" s="30" t="str">
        <f aca="false">IF(AN$6=$G10,"◆","")</f>
        <v/>
      </c>
      <c r="AO10" s="30" t="str">
        <f aca="false">IF(AO$6=$G10,"◆","")</f>
        <v/>
      </c>
      <c r="AP10" s="30" t="str">
        <f aca="false">IF(AP$6=$G10,"◆","")</f>
        <v/>
      </c>
      <c r="AQ10" s="30" t="str">
        <f aca="false">IF(AQ$6=$G10,"◆","")</f>
        <v/>
      </c>
      <c r="AR10" s="30" t="str">
        <f aca="false">IF(AR$6=$G10,"◆","")</f>
        <v/>
      </c>
      <c r="AS10" s="30" t="str">
        <f aca="false">IF(AS$6=$G10,"◆","")</f>
        <v/>
      </c>
      <c r="AT10" s="30" t="str">
        <f aca="false">IF(AT$6=$G10,"◆","")</f>
        <v/>
      </c>
      <c r="AU10" s="30" t="str">
        <f aca="false">IF(AU$6=$G10,"◆","")</f>
        <v/>
      </c>
      <c r="AV10" s="30" t="str">
        <f aca="false">IF(AV$6=$G10,"◆","")</f>
        <v/>
      </c>
      <c r="AW10" s="30" t="str">
        <f aca="false">IF(AW$6=$G10,"◆","")</f>
        <v/>
      </c>
      <c r="AX10" s="30" t="str">
        <f aca="false">IF(AX$6=$G10,"◆","")</f>
        <v/>
      </c>
    </row>
    <row r="11" customFormat="false" ht="15" hidden="false" customHeight="false" outlineLevel="0" collapsed="false">
      <c r="A11" s="12" t="n">
        <v>4</v>
      </c>
      <c r="B11" s="28" t="s">
        <v>70</v>
      </c>
      <c r="C11" s="8" t="s">
        <v>71</v>
      </c>
      <c r="D11" s="8" t="s">
        <v>63</v>
      </c>
      <c r="E11" s="8"/>
      <c r="F11" s="8" t="s">
        <v>64</v>
      </c>
      <c r="G11" s="9" t="n">
        <f aca="false">Info!$B$15</f>
        <v>46354</v>
      </c>
      <c r="H11" s="29" t="n">
        <f aca="false">G11</f>
        <v>46354</v>
      </c>
      <c r="I11" s="28" t="s">
        <v>65</v>
      </c>
      <c r="J11" s="30" t="str">
        <f aca="false">IF(J$6=$G11,"◆","")</f>
        <v/>
      </c>
      <c r="K11" s="30" t="str">
        <f aca="false">IF(K$6=$G11,"◆","")</f>
        <v/>
      </c>
      <c r="L11" s="30" t="str">
        <f aca="false">IF(L$6=$G11,"◆","")</f>
        <v/>
      </c>
      <c r="M11" s="30" t="str">
        <f aca="false">IF(M$6=$G11,"◆","")</f>
        <v/>
      </c>
      <c r="N11" s="30" t="str">
        <f aca="false">IF(N$6=$G11,"◆","")</f>
        <v/>
      </c>
      <c r="O11" s="30" t="str">
        <f aca="false">IF(O$6=$G11,"◆","")</f>
        <v/>
      </c>
      <c r="P11" s="30" t="str">
        <f aca="false">IF(P$6=$G11,"◆","")</f>
        <v/>
      </c>
      <c r="Q11" s="30" t="str">
        <f aca="false">IF(Q$6=$G11,"◆","")</f>
        <v/>
      </c>
      <c r="R11" s="30" t="str">
        <f aca="false">IF(R$6=$G11,"◆","")</f>
        <v/>
      </c>
      <c r="S11" s="30" t="str">
        <f aca="false">IF(S$6=$G11,"◆","")</f>
        <v/>
      </c>
      <c r="T11" s="30" t="str">
        <f aca="false">IF(T$6=$G11,"◆","")</f>
        <v/>
      </c>
      <c r="U11" s="30" t="str">
        <f aca="false">IF(U$6=$G11,"◆","")</f>
        <v/>
      </c>
      <c r="V11" s="30" t="str">
        <f aca="false">IF(V$6=$G11,"◆","")</f>
        <v/>
      </c>
      <c r="W11" s="30" t="str">
        <f aca="false">IF(W$6=$G11,"◆","")</f>
        <v/>
      </c>
      <c r="X11" s="30" t="str">
        <f aca="false">IF(X$6=$G11,"◆","")</f>
        <v/>
      </c>
      <c r="Y11" s="30" t="str">
        <f aca="false">IF(Y$6=$G11,"◆","")</f>
        <v/>
      </c>
      <c r="Z11" s="30" t="str">
        <f aca="false">IF(Z$6=$G11,"◆","")</f>
        <v/>
      </c>
      <c r="AA11" s="30" t="str">
        <f aca="false">IF(AA$6=$G11,"◆","")</f>
        <v/>
      </c>
      <c r="AB11" s="30" t="str">
        <f aca="false">IF(AB$6=$G11,"◆","")</f>
        <v/>
      </c>
      <c r="AC11" s="30" t="str">
        <f aca="false">IF(AC$6=$G11,"◆","")</f>
        <v/>
      </c>
      <c r="AD11" s="30" t="str">
        <f aca="false">IF(AD$6=$G11,"◆","")</f>
        <v/>
      </c>
      <c r="AE11" s="30" t="str">
        <f aca="false">IF(AE$6=$G11,"◆","")</f>
        <v/>
      </c>
      <c r="AF11" s="30" t="str">
        <f aca="false">IF(AF$6=$G11,"◆","")</f>
        <v/>
      </c>
      <c r="AG11" s="30" t="str">
        <f aca="false">IF(AG$6=$G11,"◆","")</f>
        <v/>
      </c>
      <c r="AH11" s="30" t="str">
        <f aca="false">IF(AH$6=$G11,"◆","")</f>
        <v/>
      </c>
      <c r="AI11" s="30" t="str">
        <f aca="false">IF(AI$6=$G11,"◆","")</f>
        <v/>
      </c>
      <c r="AJ11" s="30" t="str">
        <f aca="false">IF(AJ$6=$G11,"◆","")</f>
        <v/>
      </c>
      <c r="AK11" s="30" t="str">
        <f aca="false">IF(AK$6=$G11,"◆","")</f>
        <v/>
      </c>
      <c r="AL11" s="30" t="str">
        <f aca="false">IF(AL$6=$G11,"◆","")</f>
        <v/>
      </c>
      <c r="AM11" s="30" t="str">
        <f aca="false">IF(AM$6=$G11,"◆","")</f>
        <v/>
      </c>
      <c r="AN11" s="30" t="str">
        <f aca="false">IF(AN$6=$G11,"◆","")</f>
        <v/>
      </c>
      <c r="AO11" s="30" t="str">
        <f aca="false">IF(AO$6=$G11,"◆","")</f>
        <v/>
      </c>
      <c r="AP11" s="30" t="str">
        <f aca="false">IF(AP$6=$G11,"◆","")</f>
        <v/>
      </c>
      <c r="AQ11" s="30" t="str">
        <f aca="false">IF(AQ$6=$G11,"◆","")</f>
        <v/>
      </c>
      <c r="AR11" s="30" t="str">
        <f aca="false">IF(AR$6=$G11,"◆","")</f>
        <v/>
      </c>
      <c r="AS11" s="30" t="str">
        <f aca="false">IF(AS$6=$G11,"◆","")</f>
        <v/>
      </c>
      <c r="AT11" s="30" t="str">
        <f aca="false">IF(AT$6=$G11,"◆","")</f>
        <v/>
      </c>
      <c r="AU11" s="30" t="str">
        <f aca="false">IF(AU$6=$G11,"◆","")</f>
        <v/>
      </c>
      <c r="AV11" s="30" t="str">
        <f aca="false">IF(AV$6=$G11,"◆","")</f>
        <v/>
      </c>
      <c r="AW11" s="30" t="str">
        <f aca="false">IF(AW$6=$G11,"◆","")</f>
        <v/>
      </c>
      <c r="AX11" s="30" t="str">
        <f aca="false">IF(AX$6=$G11,"◆","")</f>
        <v>◆</v>
      </c>
    </row>
    <row r="12" customFormat="false" ht="15" hidden="false" customHeight="false" outlineLevel="0" collapsed="false">
      <c r="A12" s="24"/>
      <c r="B12" s="25"/>
      <c r="C12" s="24" t="s">
        <v>72</v>
      </c>
      <c r="D12" s="25"/>
      <c r="E12" s="31" t="n">
        <f aca="false">NETWORKDAYS(G12,H12)</f>
        <v>5</v>
      </c>
      <c r="F12" s="25"/>
      <c r="G12" s="32" t="n">
        <f aca="false">MIN(G13:G18)</f>
        <v>46314</v>
      </c>
      <c r="H12" s="32" t="n">
        <f aca="false">MAX(H13:H18)</f>
        <v>46318</v>
      </c>
      <c r="I12" s="26" t="s">
        <v>73</v>
      </c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</row>
    <row r="13" customFormat="false" ht="15" hidden="false" customHeight="false" outlineLevel="0" collapsed="false">
      <c r="A13" s="12" t="n">
        <v>5</v>
      </c>
      <c r="B13" s="28" t="s">
        <v>74</v>
      </c>
      <c r="C13" s="13" t="s">
        <v>75</v>
      </c>
      <c r="D13" s="13" t="s">
        <v>76</v>
      </c>
      <c r="E13" s="33" t="n">
        <f aca="false">'Effort Manday'!M6</f>
        <v>2</v>
      </c>
      <c r="F13" s="13" t="s">
        <v>77</v>
      </c>
      <c r="G13" s="9" t="n">
        <f aca="false">Info!$C$6</f>
        <v>46314</v>
      </c>
      <c r="H13" s="29" t="n">
        <f aca="false">WORKDAY(G13,E13-1)</f>
        <v>46315</v>
      </c>
      <c r="I13" s="28" t="s">
        <v>52</v>
      </c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</row>
    <row r="14" customFormat="false" ht="15" hidden="false" customHeight="false" outlineLevel="0" collapsed="false">
      <c r="A14" s="12" t="n">
        <v>6</v>
      </c>
      <c r="B14" s="28" t="s">
        <v>78</v>
      </c>
      <c r="C14" s="13" t="s">
        <v>79</v>
      </c>
      <c r="D14" s="13" t="s">
        <v>80</v>
      </c>
      <c r="E14" s="33" t="n">
        <f aca="false">'Effort Manday'!M7</f>
        <v>2</v>
      </c>
      <c r="F14" s="13" t="s">
        <v>77</v>
      </c>
      <c r="G14" s="9" t="n">
        <f aca="false">Info!$C$6</f>
        <v>46314</v>
      </c>
      <c r="H14" s="29" t="n">
        <f aca="false">WORKDAY(G14,E14-1)</f>
        <v>46315</v>
      </c>
      <c r="I14" s="28" t="s">
        <v>52</v>
      </c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</row>
    <row r="15" customFormat="false" ht="15" hidden="false" customHeight="false" outlineLevel="0" collapsed="false">
      <c r="A15" s="12" t="n">
        <v>7</v>
      </c>
      <c r="B15" s="28" t="s">
        <v>81</v>
      </c>
      <c r="C15" s="13" t="s">
        <v>82</v>
      </c>
      <c r="D15" s="13" t="s">
        <v>83</v>
      </c>
      <c r="E15" s="33" t="n">
        <f aca="false">'Effort Manday'!M8</f>
        <v>1</v>
      </c>
      <c r="F15" s="13" t="s">
        <v>84</v>
      </c>
      <c r="G15" s="29" t="n">
        <f aca="false">WORKDAY(H13,1)</f>
        <v>46316</v>
      </c>
      <c r="H15" s="29" t="n">
        <f aca="false">WORKDAY(G15,E15-1)</f>
        <v>46316</v>
      </c>
      <c r="I15" s="28" t="s">
        <v>52</v>
      </c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</row>
    <row r="16" customFormat="false" ht="15" hidden="false" customHeight="false" outlineLevel="0" collapsed="false">
      <c r="A16" s="12" t="n">
        <v>8</v>
      </c>
      <c r="B16" s="28" t="s">
        <v>85</v>
      </c>
      <c r="C16" s="13" t="s">
        <v>86</v>
      </c>
      <c r="D16" s="13" t="s">
        <v>76</v>
      </c>
      <c r="E16" s="33" t="n">
        <f aca="false">'Effort Manday'!M9</f>
        <v>1</v>
      </c>
      <c r="F16" s="13" t="s">
        <v>87</v>
      </c>
      <c r="G16" s="29" t="n">
        <f aca="false">WORKDAY(H15,1)</f>
        <v>46317</v>
      </c>
      <c r="H16" s="29" t="n">
        <f aca="false">WORKDAY(G16,E16-1)</f>
        <v>46317</v>
      </c>
      <c r="I16" s="28" t="s">
        <v>52</v>
      </c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</row>
    <row r="17" customFormat="false" ht="15" hidden="false" customHeight="false" outlineLevel="0" collapsed="false">
      <c r="A17" s="12" t="n">
        <v>9</v>
      </c>
      <c r="B17" s="28" t="s">
        <v>88</v>
      </c>
      <c r="C17" s="13" t="s">
        <v>89</v>
      </c>
      <c r="D17" s="13" t="s">
        <v>90</v>
      </c>
      <c r="E17" s="33" t="n">
        <f aca="false">'Effort Manday'!M10</f>
        <v>2</v>
      </c>
      <c r="F17" s="13" t="s">
        <v>77</v>
      </c>
      <c r="G17" s="9" t="n">
        <f aca="false">Info!$C$6</f>
        <v>46314</v>
      </c>
      <c r="H17" s="29" t="n">
        <f aca="false">WORKDAY(G17,E17-1)</f>
        <v>46315</v>
      </c>
      <c r="I17" s="28" t="s">
        <v>52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</row>
    <row r="18" customFormat="false" ht="15" hidden="false" customHeight="false" outlineLevel="0" collapsed="false">
      <c r="A18" s="12" t="n">
        <v>10</v>
      </c>
      <c r="B18" s="28" t="s">
        <v>91</v>
      </c>
      <c r="C18" s="13" t="s">
        <v>92</v>
      </c>
      <c r="D18" s="13" t="s">
        <v>93</v>
      </c>
      <c r="E18" s="33" t="n">
        <f aca="false">'Effort Manday'!M11</f>
        <v>1</v>
      </c>
      <c r="F18" s="13" t="s">
        <v>94</v>
      </c>
      <c r="G18" s="29" t="n">
        <f aca="false">WORKDAY(MAX(H14,H16,H17),1)</f>
        <v>46318</v>
      </c>
      <c r="H18" s="29" t="n">
        <f aca="false">WORKDAY(G18,E18-1)</f>
        <v>46318</v>
      </c>
      <c r="I18" s="28" t="s">
        <v>52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</row>
    <row r="19" customFormat="false" ht="15" hidden="false" customHeight="false" outlineLevel="0" collapsed="false">
      <c r="A19" s="24"/>
      <c r="B19" s="25"/>
      <c r="C19" s="24" t="s">
        <v>95</v>
      </c>
      <c r="D19" s="25"/>
      <c r="E19" s="31" t="n">
        <f aca="false">NETWORKDAYS(G19,H19)</f>
        <v>4</v>
      </c>
      <c r="F19" s="25"/>
      <c r="G19" s="32" t="n">
        <f aca="false">MIN(G20:G22)</f>
        <v>46321</v>
      </c>
      <c r="H19" s="32" t="n">
        <f aca="false">MAX(H20:H22)</f>
        <v>46324</v>
      </c>
      <c r="I19" s="26" t="s">
        <v>73</v>
      </c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</row>
    <row r="20" customFormat="false" ht="15" hidden="false" customHeight="false" outlineLevel="0" collapsed="false">
      <c r="A20" s="12" t="n">
        <v>11</v>
      </c>
      <c r="B20" s="28" t="s">
        <v>96</v>
      </c>
      <c r="C20" s="13" t="s">
        <v>97</v>
      </c>
      <c r="D20" s="13" t="s">
        <v>83</v>
      </c>
      <c r="E20" s="33" t="n">
        <f aca="false">'Effort Manday'!M12</f>
        <v>3</v>
      </c>
      <c r="F20" s="13" t="s">
        <v>98</v>
      </c>
      <c r="G20" s="29" t="n">
        <f aca="false">WORKDAY(H18,1)</f>
        <v>46321</v>
      </c>
      <c r="H20" s="29" t="n">
        <f aca="false">WORKDAY(G20,E20-1)</f>
        <v>46323</v>
      </c>
      <c r="I20" s="28" t="s">
        <v>52</v>
      </c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</row>
    <row r="21" customFormat="false" ht="15" hidden="false" customHeight="false" outlineLevel="0" collapsed="false">
      <c r="A21" s="12" t="n">
        <v>12</v>
      </c>
      <c r="B21" s="28" t="s">
        <v>99</v>
      </c>
      <c r="C21" s="13" t="s">
        <v>100</v>
      </c>
      <c r="D21" s="13" t="s">
        <v>80</v>
      </c>
      <c r="E21" s="33" t="n">
        <f aca="false">'Effort Manday'!M13</f>
        <v>2</v>
      </c>
      <c r="F21" s="13" t="s">
        <v>98</v>
      </c>
      <c r="G21" s="29" t="n">
        <f aca="false">WORKDAY(H18,1)</f>
        <v>46321</v>
      </c>
      <c r="H21" s="29" t="n">
        <f aca="false">WORKDAY(G21,E21-1)</f>
        <v>46322</v>
      </c>
      <c r="I21" s="28" t="s">
        <v>52</v>
      </c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</row>
    <row r="22" customFormat="false" ht="15" hidden="false" customHeight="false" outlineLevel="0" collapsed="false">
      <c r="A22" s="12" t="n">
        <v>13</v>
      </c>
      <c r="B22" s="28" t="s">
        <v>101</v>
      </c>
      <c r="C22" s="13" t="s">
        <v>102</v>
      </c>
      <c r="D22" s="13" t="s">
        <v>80</v>
      </c>
      <c r="E22" s="33" t="n">
        <f aca="false">'Effort Manday'!M14</f>
        <v>2</v>
      </c>
      <c r="F22" s="13" t="s">
        <v>103</v>
      </c>
      <c r="G22" s="29" t="n">
        <f aca="false">WORKDAY(H21,1)</f>
        <v>46323</v>
      </c>
      <c r="H22" s="29" t="n">
        <f aca="false">WORKDAY(G22,E22-1)</f>
        <v>46324</v>
      </c>
      <c r="I22" s="28" t="s">
        <v>52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</row>
    <row r="23" customFormat="false" ht="15" hidden="false" customHeight="false" outlineLevel="0" collapsed="false">
      <c r="A23" s="24"/>
      <c r="B23" s="25"/>
      <c r="C23" s="24" t="s">
        <v>104</v>
      </c>
      <c r="D23" s="25"/>
      <c r="E23" s="31" t="n">
        <f aca="false">NETWORKDAYS(G23,H23)</f>
        <v>5</v>
      </c>
      <c r="F23" s="25"/>
      <c r="G23" s="32" t="n">
        <f aca="false">MIN(G24:G26)</f>
        <v>46321</v>
      </c>
      <c r="H23" s="32" t="n">
        <f aca="false">MAX(H24:H26)</f>
        <v>46325</v>
      </c>
      <c r="I23" s="26" t="s">
        <v>73</v>
      </c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</row>
    <row r="24" customFormat="false" ht="15" hidden="false" customHeight="false" outlineLevel="0" collapsed="false">
      <c r="A24" s="12" t="n">
        <v>14</v>
      </c>
      <c r="B24" s="28" t="s">
        <v>105</v>
      </c>
      <c r="C24" s="13" t="s">
        <v>106</v>
      </c>
      <c r="D24" s="13" t="s">
        <v>90</v>
      </c>
      <c r="E24" s="33" t="n">
        <f aca="false">'Effort Manday'!M15</f>
        <v>2</v>
      </c>
      <c r="F24" s="13" t="s">
        <v>98</v>
      </c>
      <c r="G24" s="29" t="n">
        <f aca="false">WORKDAY(H18,1)</f>
        <v>46321</v>
      </c>
      <c r="H24" s="29" t="n">
        <f aca="false">WORKDAY(G24,E24-1)</f>
        <v>46322</v>
      </c>
      <c r="I24" s="28" t="s">
        <v>52</v>
      </c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</row>
    <row r="25" customFormat="false" ht="15" hidden="false" customHeight="false" outlineLevel="0" collapsed="false">
      <c r="A25" s="12" t="n">
        <v>15</v>
      </c>
      <c r="B25" s="28" t="s">
        <v>107</v>
      </c>
      <c r="C25" s="13" t="s">
        <v>108</v>
      </c>
      <c r="D25" s="13" t="s">
        <v>90</v>
      </c>
      <c r="E25" s="33" t="n">
        <f aca="false">'Effort Manday'!M16</f>
        <v>3</v>
      </c>
      <c r="F25" s="13" t="s">
        <v>109</v>
      </c>
      <c r="G25" s="29" t="n">
        <f aca="false">WORKDAY(MAX(H24,H21),1)</f>
        <v>46323</v>
      </c>
      <c r="H25" s="29" t="n">
        <f aca="false">WORKDAY(G25,E25-1)</f>
        <v>46325</v>
      </c>
      <c r="I25" s="28" t="s">
        <v>52</v>
      </c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</row>
    <row r="26" customFormat="false" ht="15" hidden="false" customHeight="false" outlineLevel="0" collapsed="false">
      <c r="A26" s="12" t="n">
        <v>16</v>
      </c>
      <c r="B26" s="28" t="s">
        <v>110</v>
      </c>
      <c r="C26" s="13" t="s">
        <v>111</v>
      </c>
      <c r="D26" s="13" t="s">
        <v>76</v>
      </c>
      <c r="E26" s="33" t="n">
        <f aca="false">'Effort Manday'!M17</f>
        <v>1</v>
      </c>
      <c r="F26" s="13" t="s">
        <v>98</v>
      </c>
      <c r="G26" s="29" t="n">
        <f aca="false">WORKDAY(H18,1)</f>
        <v>46321</v>
      </c>
      <c r="H26" s="29" t="n">
        <f aca="false">WORKDAY(G26,E26-1)</f>
        <v>46321</v>
      </c>
      <c r="I26" s="28" t="s">
        <v>52</v>
      </c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</row>
    <row r="27" customFormat="false" ht="15" hidden="false" customHeight="false" outlineLevel="0" collapsed="false">
      <c r="A27" s="24"/>
      <c r="B27" s="25"/>
      <c r="C27" s="24" t="s">
        <v>112</v>
      </c>
      <c r="D27" s="25"/>
      <c r="E27" s="31" t="n">
        <f aca="false">NETWORKDAYS(G27,H27)</f>
        <v>14</v>
      </c>
      <c r="F27" s="25"/>
      <c r="G27" s="32" t="n">
        <f aca="false">MIN(G28:G31)</f>
        <v>46322</v>
      </c>
      <c r="H27" s="32" t="n">
        <f aca="false">MAX(H28:H31)</f>
        <v>46339</v>
      </c>
      <c r="I27" s="26" t="s">
        <v>73</v>
      </c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</row>
    <row r="28" customFormat="false" ht="15" hidden="false" customHeight="false" outlineLevel="0" collapsed="false">
      <c r="A28" s="12" t="n">
        <v>17</v>
      </c>
      <c r="B28" s="28" t="s">
        <v>113</v>
      </c>
      <c r="C28" s="13" t="s">
        <v>114</v>
      </c>
      <c r="D28" s="13" t="s">
        <v>76</v>
      </c>
      <c r="E28" s="33" t="n">
        <f aca="false">'Effort Manday'!M18</f>
        <v>1</v>
      </c>
      <c r="F28" s="13" t="s">
        <v>115</v>
      </c>
      <c r="G28" s="29" t="n">
        <f aca="false">WORKDAY(H26,1)</f>
        <v>46322</v>
      </c>
      <c r="H28" s="29" t="n">
        <f aca="false">WORKDAY(G28,E28-1)</f>
        <v>46322</v>
      </c>
      <c r="I28" s="28" t="s">
        <v>52</v>
      </c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</row>
    <row r="29" customFormat="false" ht="15" hidden="false" customHeight="false" outlineLevel="0" collapsed="false">
      <c r="A29" s="12" t="n">
        <v>18</v>
      </c>
      <c r="B29" s="28" t="s">
        <v>116</v>
      </c>
      <c r="C29" s="13" t="s">
        <v>117</v>
      </c>
      <c r="D29" s="13" t="s">
        <v>90</v>
      </c>
      <c r="E29" s="33" t="n">
        <f aca="false">'Effort Manday'!M19</f>
        <v>6</v>
      </c>
      <c r="F29" s="13" t="s">
        <v>118</v>
      </c>
      <c r="G29" s="29" t="n">
        <f aca="false">WORKDAY(MAX(H25,H28),1)</f>
        <v>46328</v>
      </c>
      <c r="H29" s="29" t="n">
        <f aca="false">WORKDAY(G29,E29-1)</f>
        <v>46335</v>
      </c>
      <c r="I29" s="28" t="s">
        <v>52</v>
      </c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</row>
    <row r="30" customFormat="false" ht="15" hidden="false" customHeight="false" outlineLevel="0" collapsed="false">
      <c r="A30" s="12" t="n">
        <v>19</v>
      </c>
      <c r="B30" s="28" t="s">
        <v>119</v>
      </c>
      <c r="C30" s="13" t="s">
        <v>120</v>
      </c>
      <c r="D30" s="13" t="s">
        <v>83</v>
      </c>
      <c r="E30" s="33" t="n">
        <f aca="false">'Effort Manday'!M20</f>
        <v>4</v>
      </c>
      <c r="F30" s="13" t="s">
        <v>121</v>
      </c>
      <c r="G30" s="29" t="n">
        <f aca="false">WORKDAY(MAX(H29,H20),1)</f>
        <v>46336</v>
      </c>
      <c r="H30" s="29" t="n">
        <f aca="false">WORKDAY(G30,E30-1)</f>
        <v>46339</v>
      </c>
      <c r="I30" s="28" t="s">
        <v>52</v>
      </c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</row>
    <row r="31" customFormat="false" ht="15" hidden="false" customHeight="false" outlineLevel="0" collapsed="false">
      <c r="A31" s="12" t="n">
        <v>20</v>
      </c>
      <c r="B31" s="28" t="s">
        <v>122</v>
      </c>
      <c r="C31" s="13" t="s">
        <v>123</v>
      </c>
      <c r="D31" s="13" t="s">
        <v>76</v>
      </c>
      <c r="E31" s="33" t="n">
        <f aca="false">'Effort Manday'!M21</f>
        <v>14</v>
      </c>
      <c r="F31" s="13" t="s">
        <v>124</v>
      </c>
      <c r="G31" s="29" t="n">
        <f aca="false">G28</f>
        <v>46322</v>
      </c>
      <c r="H31" s="29" t="n">
        <f aca="false">WORKDAY(G31,E31-1)</f>
        <v>46339</v>
      </c>
      <c r="I31" s="28" t="s">
        <v>52</v>
      </c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</row>
    <row r="32" customFormat="false" ht="15" hidden="false" customHeight="false" outlineLevel="0" collapsed="false">
      <c r="A32" s="24"/>
      <c r="B32" s="25"/>
      <c r="C32" s="24" t="s">
        <v>125</v>
      </c>
      <c r="D32" s="25"/>
      <c r="E32" s="31" t="n">
        <f aca="false">NETWORKDAYS(G32,H32)</f>
        <v>15</v>
      </c>
      <c r="F32" s="25"/>
      <c r="G32" s="32" t="n">
        <f aca="false">MIN(G33:G36)</f>
        <v>46325</v>
      </c>
      <c r="H32" s="32" t="n">
        <f aca="false">MAX(H33:H36)</f>
        <v>46345</v>
      </c>
      <c r="I32" s="26" t="s">
        <v>73</v>
      </c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</row>
    <row r="33" customFormat="false" ht="15" hidden="false" customHeight="false" outlineLevel="0" collapsed="false">
      <c r="A33" s="12" t="n">
        <v>21</v>
      </c>
      <c r="B33" s="28" t="s">
        <v>126</v>
      </c>
      <c r="C33" s="13" t="s">
        <v>127</v>
      </c>
      <c r="D33" s="13" t="s">
        <v>80</v>
      </c>
      <c r="E33" s="33" t="n">
        <f aca="false">'Effort Manday'!M22</f>
        <v>2</v>
      </c>
      <c r="F33" s="13" t="s">
        <v>128</v>
      </c>
      <c r="G33" s="29" t="n">
        <f aca="false">WORKDAY(H22,1)</f>
        <v>46325</v>
      </c>
      <c r="H33" s="29" t="n">
        <f aca="false">WORKDAY(G33,E33-1)</f>
        <v>46328</v>
      </c>
      <c r="I33" s="28" t="s">
        <v>52</v>
      </c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</row>
    <row r="34" customFormat="false" ht="15" hidden="false" customHeight="false" outlineLevel="0" collapsed="false">
      <c r="A34" s="12" t="n">
        <v>22</v>
      </c>
      <c r="B34" s="28" t="s">
        <v>129</v>
      </c>
      <c r="C34" s="13" t="s">
        <v>130</v>
      </c>
      <c r="D34" s="13" t="s">
        <v>131</v>
      </c>
      <c r="E34" s="33" t="n">
        <f aca="false">'Effort Manday'!M23</f>
        <v>2</v>
      </c>
      <c r="F34" s="13" t="s">
        <v>132</v>
      </c>
      <c r="G34" s="29" t="n">
        <f aca="false">WORKDAY(MAX(H30,H33),1)</f>
        <v>46342</v>
      </c>
      <c r="H34" s="29" t="n">
        <f aca="false">WORKDAY(G34,E34-1)</f>
        <v>46343</v>
      </c>
      <c r="I34" s="28" t="s">
        <v>52</v>
      </c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</row>
    <row r="35" customFormat="false" ht="15" hidden="false" customHeight="false" outlineLevel="0" collapsed="false">
      <c r="A35" s="12" t="n">
        <v>23</v>
      </c>
      <c r="B35" s="28" t="s">
        <v>133</v>
      </c>
      <c r="C35" s="13" t="s">
        <v>134</v>
      </c>
      <c r="D35" s="13" t="s">
        <v>135</v>
      </c>
      <c r="E35" s="33" t="n">
        <f aca="false">'Effort Manday'!M24</f>
        <v>2</v>
      </c>
      <c r="F35" s="13" t="s">
        <v>136</v>
      </c>
      <c r="G35" s="29" t="n">
        <f aca="false">WORKDAY(H34,1)</f>
        <v>46344</v>
      </c>
      <c r="H35" s="29" t="n">
        <f aca="false">WORKDAY(G35,E35-1)</f>
        <v>46345</v>
      </c>
      <c r="I35" s="28" t="s">
        <v>52</v>
      </c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</row>
    <row r="36" customFormat="false" ht="15" hidden="false" customHeight="false" outlineLevel="0" collapsed="false">
      <c r="A36" s="12" t="n">
        <v>24</v>
      </c>
      <c r="B36" s="28" t="s">
        <v>137</v>
      </c>
      <c r="C36" s="13" t="s">
        <v>138</v>
      </c>
      <c r="D36" s="13" t="s">
        <v>80</v>
      </c>
      <c r="E36" s="33" t="n">
        <f aca="false">'Effort Manday'!M25</f>
        <v>1</v>
      </c>
      <c r="F36" s="13" t="s">
        <v>136</v>
      </c>
      <c r="G36" s="29" t="n">
        <f aca="false">WORKDAY(H34,1)</f>
        <v>46344</v>
      </c>
      <c r="H36" s="29" t="n">
        <f aca="false">WORKDAY(G36,E36-1)</f>
        <v>46344</v>
      </c>
      <c r="I36" s="28" t="s">
        <v>52</v>
      </c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</row>
    <row r="37" customFormat="false" ht="15" hidden="false" customHeight="false" outlineLevel="0" collapsed="false">
      <c r="A37" s="24"/>
      <c r="B37" s="25"/>
      <c r="C37" s="24" t="s">
        <v>139</v>
      </c>
      <c r="D37" s="25"/>
      <c r="E37" s="31" t="n">
        <f aca="false">NETWORKDAYS(G37,H37)</f>
        <v>9</v>
      </c>
      <c r="F37" s="25"/>
      <c r="G37" s="32" t="n">
        <f aca="false">MIN(G38:G41)</f>
        <v>46342</v>
      </c>
      <c r="H37" s="32" t="n">
        <f aca="false">MAX(H38:H41)</f>
        <v>46352</v>
      </c>
      <c r="I37" s="26" t="s">
        <v>73</v>
      </c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</row>
    <row r="38" customFormat="false" ht="15" hidden="false" customHeight="false" outlineLevel="0" collapsed="false">
      <c r="A38" s="12" t="n">
        <v>25</v>
      </c>
      <c r="B38" s="28" t="s">
        <v>140</v>
      </c>
      <c r="C38" s="13" t="s">
        <v>141</v>
      </c>
      <c r="D38" s="13" t="s">
        <v>80</v>
      </c>
      <c r="E38" s="33" t="n">
        <f aca="false">'Effort Manday'!M26</f>
        <v>4</v>
      </c>
      <c r="F38" s="13" t="s">
        <v>142</v>
      </c>
      <c r="G38" s="29" t="n">
        <f aca="false">WORKDAY(MAX(H35,H36),1)</f>
        <v>46346</v>
      </c>
      <c r="H38" s="29" t="n">
        <f aca="false">WORKDAY(G38,E38-1)</f>
        <v>46351</v>
      </c>
      <c r="I38" s="28" t="s">
        <v>52</v>
      </c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</row>
    <row r="39" customFormat="false" ht="15" hidden="false" customHeight="false" outlineLevel="0" collapsed="false">
      <c r="A39" s="12" t="n">
        <v>26</v>
      </c>
      <c r="B39" s="28" t="s">
        <v>143</v>
      </c>
      <c r="C39" s="13" t="s">
        <v>144</v>
      </c>
      <c r="D39" s="13" t="s">
        <v>76</v>
      </c>
      <c r="E39" s="33" t="n">
        <f aca="false">'Effort Manday'!M27</f>
        <v>2</v>
      </c>
      <c r="F39" s="13" t="s">
        <v>145</v>
      </c>
      <c r="G39" s="29" t="n">
        <f aca="false">WORKDAY(H31,1)</f>
        <v>46342</v>
      </c>
      <c r="H39" s="29" t="n">
        <f aca="false">WORKDAY(G39,E39-1)</f>
        <v>46343</v>
      </c>
      <c r="I39" s="28" t="s">
        <v>52</v>
      </c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</row>
    <row r="40" customFormat="false" ht="15" hidden="false" customHeight="false" outlineLevel="0" collapsed="false">
      <c r="A40" s="12" t="n">
        <v>27</v>
      </c>
      <c r="B40" s="28" t="s">
        <v>146</v>
      </c>
      <c r="C40" s="13" t="s">
        <v>147</v>
      </c>
      <c r="D40" s="13" t="s">
        <v>83</v>
      </c>
      <c r="E40" s="33" t="n">
        <f aca="false">'Effort Manday'!M28</f>
        <v>3</v>
      </c>
      <c r="F40" s="13" t="s">
        <v>148</v>
      </c>
      <c r="G40" s="29" t="n">
        <f aca="false">WORKDAY(H49,1)</f>
        <v>46350</v>
      </c>
      <c r="H40" s="29" t="n">
        <f aca="false">WORKDAY(G40,E40-1)</f>
        <v>46352</v>
      </c>
      <c r="I40" s="28" t="s">
        <v>52</v>
      </c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</row>
    <row r="41" customFormat="false" ht="15" hidden="false" customHeight="false" outlineLevel="0" collapsed="false">
      <c r="A41" s="12" t="n">
        <v>28</v>
      </c>
      <c r="B41" s="28" t="s">
        <v>149</v>
      </c>
      <c r="C41" s="13" t="s">
        <v>150</v>
      </c>
      <c r="D41" s="13" t="s">
        <v>151</v>
      </c>
      <c r="E41" s="33" t="n">
        <f aca="false">'Effort Manday'!M29</f>
        <v>1</v>
      </c>
      <c r="F41" s="13" t="s">
        <v>148</v>
      </c>
      <c r="G41" s="29" t="n">
        <f aca="false">WORKDAY(H49,1)</f>
        <v>46350</v>
      </c>
      <c r="H41" s="29" t="n">
        <f aca="false">WORKDAY(G41,E41-1)</f>
        <v>46350</v>
      </c>
      <c r="I41" s="28" t="s">
        <v>52</v>
      </c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</row>
    <row r="42" customFormat="false" ht="15" hidden="false" customHeight="false" outlineLevel="0" collapsed="false">
      <c r="A42" s="24"/>
      <c r="B42" s="25"/>
      <c r="C42" s="24" t="s">
        <v>152</v>
      </c>
      <c r="D42" s="25"/>
      <c r="E42" s="31" t="n">
        <f aca="false">NETWORKDAYS(G42,H42)</f>
        <v>4</v>
      </c>
      <c r="F42" s="25"/>
      <c r="G42" s="32" t="n">
        <f aca="false">MIN(G43:G47)</f>
        <v>46336</v>
      </c>
      <c r="H42" s="32" t="n">
        <f aca="false">MAX(H43:H47)</f>
        <v>46339</v>
      </c>
      <c r="I42" s="26" t="s">
        <v>73</v>
      </c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</row>
    <row r="43" customFormat="false" ht="15" hidden="false" customHeight="false" outlineLevel="0" collapsed="false">
      <c r="A43" s="12" t="n">
        <v>29</v>
      </c>
      <c r="B43" s="28" t="s">
        <v>153</v>
      </c>
      <c r="C43" s="13" t="s">
        <v>154</v>
      </c>
      <c r="D43" s="13" t="s">
        <v>76</v>
      </c>
      <c r="E43" s="33" t="n">
        <f aca="false">'Effort Manday'!M30</f>
        <v>1</v>
      </c>
      <c r="F43" s="13" t="s">
        <v>155</v>
      </c>
      <c r="G43" s="34" t="n">
        <v>46336</v>
      </c>
      <c r="H43" s="29" t="n">
        <f aca="false">WORKDAY(G43,E43-1)</f>
        <v>46336</v>
      </c>
      <c r="I43" s="28" t="s">
        <v>52</v>
      </c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</row>
    <row r="44" customFormat="false" ht="15" hidden="false" customHeight="false" outlineLevel="0" collapsed="false">
      <c r="A44" s="12" t="n">
        <v>30</v>
      </c>
      <c r="B44" s="28" t="s">
        <v>156</v>
      </c>
      <c r="C44" s="13" t="s">
        <v>157</v>
      </c>
      <c r="D44" s="13" t="s">
        <v>83</v>
      </c>
      <c r="E44" s="33" t="n">
        <f aca="false">'Effort Manday'!M31</f>
        <v>1</v>
      </c>
      <c r="F44" s="13" t="s">
        <v>155</v>
      </c>
      <c r="G44" s="34" t="n">
        <v>46337</v>
      </c>
      <c r="H44" s="29" t="n">
        <f aca="false">WORKDAY(G44,E44-1)</f>
        <v>46337</v>
      </c>
      <c r="I44" s="28" t="s">
        <v>52</v>
      </c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</row>
    <row r="45" customFormat="false" ht="15" hidden="false" customHeight="false" outlineLevel="0" collapsed="false">
      <c r="A45" s="12" t="n">
        <v>31</v>
      </c>
      <c r="B45" s="28" t="s">
        <v>158</v>
      </c>
      <c r="C45" s="13" t="s">
        <v>159</v>
      </c>
      <c r="D45" s="13" t="s">
        <v>80</v>
      </c>
      <c r="E45" s="33" t="n">
        <f aca="false">'Effort Manday'!M32</f>
        <v>1</v>
      </c>
      <c r="F45" s="13" t="s">
        <v>155</v>
      </c>
      <c r="G45" s="34" t="n">
        <v>46337</v>
      </c>
      <c r="H45" s="29" t="n">
        <f aca="false">WORKDAY(G45,E45-1)</f>
        <v>46337</v>
      </c>
      <c r="I45" s="28" t="s">
        <v>52</v>
      </c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</row>
    <row r="46" customFormat="false" ht="15" hidden="false" customHeight="false" outlineLevel="0" collapsed="false">
      <c r="A46" s="12" t="n">
        <v>32</v>
      </c>
      <c r="B46" s="28" t="s">
        <v>160</v>
      </c>
      <c r="C46" s="13" t="s">
        <v>161</v>
      </c>
      <c r="D46" s="13" t="s">
        <v>90</v>
      </c>
      <c r="E46" s="33" t="n">
        <f aca="false">'Effort Manday'!M33</f>
        <v>1</v>
      </c>
      <c r="F46" s="13" t="s">
        <v>155</v>
      </c>
      <c r="G46" s="34" t="n">
        <v>46338</v>
      </c>
      <c r="H46" s="29" t="n">
        <f aca="false">WORKDAY(G46,E46-1)</f>
        <v>46338</v>
      </c>
      <c r="I46" s="28" t="s">
        <v>52</v>
      </c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</row>
    <row r="47" customFormat="false" ht="15" hidden="false" customHeight="false" outlineLevel="0" collapsed="false">
      <c r="A47" s="12" t="n">
        <v>33</v>
      </c>
      <c r="B47" s="28" t="s">
        <v>162</v>
      </c>
      <c r="C47" s="13" t="s">
        <v>163</v>
      </c>
      <c r="D47" s="13" t="s">
        <v>80</v>
      </c>
      <c r="E47" s="33" t="n">
        <f aca="false">'Effort Manday'!M34</f>
        <v>1</v>
      </c>
      <c r="F47" s="13" t="s">
        <v>164</v>
      </c>
      <c r="G47" s="29" t="n">
        <f aca="false">WORKDAY(MAX(H43,H44,H45,H46),1)</f>
        <v>46339</v>
      </c>
      <c r="H47" s="29" t="n">
        <f aca="false">WORKDAY(G47,E47-1)</f>
        <v>46339</v>
      </c>
      <c r="I47" s="28" t="s">
        <v>52</v>
      </c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</row>
    <row r="48" customFormat="false" ht="15" hidden="false" customHeight="false" outlineLevel="0" collapsed="false">
      <c r="A48" s="24"/>
      <c r="B48" s="25"/>
      <c r="C48" s="24" t="s">
        <v>165</v>
      </c>
      <c r="D48" s="25"/>
      <c r="E48" s="31" t="n">
        <f aca="false">NETWORKDAYS(G48,H48)</f>
        <v>6</v>
      </c>
      <c r="F48" s="25"/>
      <c r="G48" s="32" t="n">
        <f aca="false">MIN(G49:G50)</f>
        <v>46346</v>
      </c>
      <c r="H48" s="32" t="n">
        <f aca="false">MAX(H49:H50)</f>
        <v>46353</v>
      </c>
      <c r="I48" s="26" t="s">
        <v>73</v>
      </c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</row>
    <row r="49" customFormat="false" ht="15" hidden="false" customHeight="false" outlineLevel="0" collapsed="false">
      <c r="A49" s="12" t="n">
        <v>34</v>
      </c>
      <c r="B49" s="28" t="s">
        <v>166</v>
      </c>
      <c r="C49" s="13" t="s">
        <v>167</v>
      </c>
      <c r="D49" s="13" t="s">
        <v>168</v>
      </c>
      <c r="E49" s="33" t="n">
        <f aca="false">'Effort Manday'!M35</f>
        <v>2</v>
      </c>
      <c r="F49" s="13" t="s">
        <v>169</v>
      </c>
      <c r="G49" s="29" t="n">
        <f aca="false">WORKDAY(H35,1)</f>
        <v>46346</v>
      </c>
      <c r="H49" s="29" t="n">
        <f aca="false">WORKDAY(G49,E49-1)</f>
        <v>46349</v>
      </c>
      <c r="I49" s="28" t="s">
        <v>52</v>
      </c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</row>
    <row r="50" customFormat="false" ht="23.85" hidden="false" customHeight="false" outlineLevel="0" collapsed="false">
      <c r="A50" s="12" t="n">
        <v>35</v>
      </c>
      <c r="B50" s="28" t="s">
        <v>170</v>
      </c>
      <c r="C50" s="13" t="s">
        <v>171</v>
      </c>
      <c r="D50" s="13" t="s">
        <v>172</v>
      </c>
      <c r="E50" s="33" t="n">
        <f aca="false">'Effort Manday'!M36</f>
        <v>1</v>
      </c>
      <c r="F50" s="13" t="s">
        <v>173</v>
      </c>
      <c r="G50" s="29" t="n">
        <f aca="false">WORKDAY(MAX(H38,H40),1)</f>
        <v>46353</v>
      </c>
      <c r="H50" s="29" t="n">
        <f aca="false">WORKDAY(G50,E50-1)</f>
        <v>46353</v>
      </c>
      <c r="I50" s="28" t="s">
        <v>52</v>
      </c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</row>
    <row r="51" customFormat="false" ht="15" hidden="false" customHeight="false" outlineLevel="0" collapsed="false">
      <c r="A51" s="24"/>
      <c r="B51" s="25"/>
      <c r="C51" s="24" t="s">
        <v>174</v>
      </c>
      <c r="D51" s="25"/>
      <c r="E51" s="31" t="n">
        <f aca="false">NETWORKDAYS(G51,H51)</f>
        <v>26</v>
      </c>
      <c r="F51" s="25"/>
      <c r="G51" s="32" t="n">
        <f aca="false">MIN(G52:G57)</f>
        <v>46316</v>
      </c>
      <c r="H51" s="32" t="n">
        <f aca="false">MAX(H52:H57)</f>
        <v>46351</v>
      </c>
      <c r="I51" s="26" t="s">
        <v>73</v>
      </c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</row>
    <row r="52" customFormat="false" ht="23.85" hidden="false" customHeight="false" outlineLevel="0" collapsed="false">
      <c r="A52" s="12" t="n">
        <v>36</v>
      </c>
      <c r="B52" s="28" t="s">
        <v>175</v>
      </c>
      <c r="C52" s="13" t="s">
        <v>176</v>
      </c>
      <c r="D52" s="13" t="s">
        <v>172</v>
      </c>
      <c r="E52" s="33" t="n">
        <f aca="false">'Effort Manday'!M37</f>
        <v>1</v>
      </c>
      <c r="F52" s="13" t="s">
        <v>155</v>
      </c>
      <c r="G52" s="34" t="n">
        <v>46316</v>
      </c>
      <c r="H52" s="29" t="n">
        <f aca="false">WORKDAY(G52,E52-1)</f>
        <v>46316</v>
      </c>
      <c r="I52" s="28" t="s">
        <v>177</v>
      </c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</row>
    <row r="53" customFormat="false" ht="23.85" hidden="false" customHeight="false" outlineLevel="0" collapsed="false">
      <c r="A53" s="12" t="n">
        <v>37</v>
      </c>
      <c r="B53" s="28" t="s">
        <v>178</v>
      </c>
      <c r="C53" s="13" t="s">
        <v>179</v>
      </c>
      <c r="D53" s="13" t="s">
        <v>172</v>
      </c>
      <c r="E53" s="33" t="n">
        <f aca="false">'Effort Manday'!M38</f>
        <v>1</v>
      </c>
      <c r="F53" s="13" t="s">
        <v>155</v>
      </c>
      <c r="G53" s="34" t="n">
        <v>46323</v>
      </c>
      <c r="H53" s="29" t="n">
        <f aca="false">WORKDAY(G53,E53-1)</f>
        <v>46323</v>
      </c>
      <c r="I53" s="28" t="s">
        <v>177</v>
      </c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</row>
    <row r="54" customFormat="false" ht="23.85" hidden="false" customHeight="false" outlineLevel="0" collapsed="false">
      <c r="A54" s="12" t="n">
        <v>38</v>
      </c>
      <c r="B54" s="28" t="s">
        <v>180</v>
      </c>
      <c r="C54" s="13" t="s">
        <v>181</v>
      </c>
      <c r="D54" s="13" t="s">
        <v>172</v>
      </c>
      <c r="E54" s="33" t="n">
        <f aca="false">'Effort Manday'!M39</f>
        <v>1</v>
      </c>
      <c r="F54" s="13" t="s">
        <v>155</v>
      </c>
      <c r="G54" s="34" t="n">
        <v>46330</v>
      </c>
      <c r="H54" s="29" t="n">
        <f aca="false">WORKDAY(G54,E54-1)</f>
        <v>46330</v>
      </c>
      <c r="I54" s="28" t="s">
        <v>177</v>
      </c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</row>
    <row r="55" customFormat="false" ht="23.85" hidden="false" customHeight="false" outlineLevel="0" collapsed="false">
      <c r="A55" s="12" t="n">
        <v>39</v>
      </c>
      <c r="B55" s="28" t="s">
        <v>182</v>
      </c>
      <c r="C55" s="13" t="s">
        <v>183</v>
      </c>
      <c r="D55" s="13" t="s">
        <v>172</v>
      </c>
      <c r="E55" s="33" t="n">
        <f aca="false">'Effort Manday'!M40</f>
        <v>1</v>
      </c>
      <c r="F55" s="13" t="s">
        <v>155</v>
      </c>
      <c r="G55" s="34" t="n">
        <v>46337</v>
      </c>
      <c r="H55" s="29" t="n">
        <f aca="false">WORKDAY(G55,E55-1)</f>
        <v>46337</v>
      </c>
      <c r="I55" s="28" t="s">
        <v>177</v>
      </c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</row>
    <row r="56" customFormat="false" ht="23.85" hidden="false" customHeight="false" outlineLevel="0" collapsed="false">
      <c r="A56" s="12" t="n">
        <v>40</v>
      </c>
      <c r="B56" s="28" t="s">
        <v>184</v>
      </c>
      <c r="C56" s="13" t="s">
        <v>185</v>
      </c>
      <c r="D56" s="13" t="s">
        <v>172</v>
      </c>
      <c r="E56" s="33" t="n">
        <f aca="false">'Effort Manday'!M41</f>
        <v>1</v>
      </c>
      <c r="F56" s="13" t="s">
        <v>155</v>
      </c>
      <c r="G56" s="34" t="n">
        <v>46344</v>
      </c>
      <c r="H56" s="29" t="n">
        <f aca="false">WORKDAY(G56,E56-1)</f>
        <v>46344</v>
      </c>
      <c r="I56" s="28" t="s">
        <v>177</v>
      </c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</row>
    <row r="57" customFormat="false" ht="23.85" hidden="false" customHeight="false" outlineLevel="0" collapsed="false">
      <c r="A57" s="12" t="n">
        <v>41</v>
      </c>
      <c r="B57" s="28" t="s">
        <v>186</v>
      </c>
      <c r="C57" s="13" t="s">
        <v>187</v>
      </c>
      <c r="D57" s="13" t="s">
        <v>172</v>
      </c>
      <c r="E57" s="33" t="n">
        <f aca="false">'Effort Manday'!M42</f>
        <v>1</v>
      </c>
      <c r="F57" s="13" t="s">
        <v>155</v>
      </c>
      <c r="G57" s="34" t="n">
        <v>46351</v>
      </c>
      <c r="H57" s="29" t="n">
        <f aca="false">WORKDAY(G57,E57-1)</f>
        <v>46351</v>
      </c>
      <c r="I57" s="28" t="s">
        <v>177</v>
      </c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</row>
  </sheetData>
  <mergeCells count="2">
    <mergeCell ref="J4:V4"/>
    <mergeCell ref="W4:AX4"/>
  </mergeCells>
  <conditionalFormatting sqref="J7:AX57">
    <cfRule type="expression" priority="2" aboveAverage="0" equalAverage="0" bottom="0" percent="0" rank="0" text="" dxfId="0">
      <formula>AND($I7="Ringkasan",J$6&gt;=$G7,J$6&lt;=$H7)</formula>
    </cfRule>
    <cfRule type="expression" priority="3" aboveAverage="0" equalAverage="0" bottom="0" percent="0" rank="0" text="" dxfId="1">
      <formula>AND($I7="Rapat",J$6&gt;=$G7,J$6&lt;=$H7)</formula>
    </cfRule>
    <cfRule type="expression" priority="4" aboveAverage="0" equalAverage="0" bottom="0" percent="0" rank="0" text="" dxfId="2">
      <formula>AND($I7="Aktivitas",J$6&gt;=$G7,J$6&lt;=$H7)</formula>
    </cfRule>
    <cfRule type="expression" priority="5" aboveAverage="0" equalAverage="0" bottom="0" percent="0" rank="0" text="" dxfId="3">
      <formula>WEEKDAY(J$6,2)&gt;5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5" min="5" style="0" width="46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188</v>
      </c>
    </row>
    <row r="2" customFormat="false" ht="15" hidden="false" customHeight="false" outlineLevel="0" collapsed="false">
      <c r="A2" s="2" t="s">
        <v>189</v>
      </c>
    </row>
    <row r="4" customFormat="false" ht="15" hidden="false" customHeight="false" outlineLevel="0" collapsed="false">
      <c r="A4" s="3" t="s">
        <v>190</v>
      </c>
    </row>
    <row r="5" customFormat="false" ht="15" hidden="false" customHeight="false" outlineLevel="0" collapsed="false">
      <c r="A5" s="7" t="s">
        <v>50</v>
      </c>
      <c r="B5" s="7" t="s">
        <v>191</v>
      </c>
      <c r="C5" s="7" t="s">
        <v>192</v>
      </c>
      <c r="D5" s="7" t="s">
        <v>193</v>
      </c>
      <c r="E5" s="7" t="s">
        <v>194</v>
      </c>
      <c r="F5" s="7" t="s">
        <v>195</v>
      </c>
      <c r="G5" s="7" t="s">
        <v>196</v>
      </c>
    </row>
    <row r="6" customFormat="false" ht="57.75" hidden="false" customHeight="true" outlineLevel="0" collapsed="false">
      <c r="A6" s="12" t="n">
        <v>1</v>
      </c>
      <c r="B6" s="13" t="s">
        <v>197</v>
      </c>
      <c r="C6" s="12" t="s">
        <v>198</v>
      </c>
      <c r="D6" s="13" t="s">
        <v>199</v>
      </c>
      <c r="E6" s="13" t="s">
        <v>200</v>
      </c>
      <c r="F6" s="13" t="s">
        <v>201</v>
      </c>
      <c r="G6" s="35" t="n">
        <f aca="false">'Effort Manday'!N43</f>
        <v>16.575</v>
      </c>
    </row>
    <row r="7" customFormat="false" ht="57.75" hidden="false" customHeight="true" outlineLevel="0" collapsed="false">
      <c r="A7" s="12" t="n">
        <v>2</v>
      </c>
      <c r="B7" s="13" t="s">
        <v>202</v>
      </c>
      <c r="C7" s="12" t="s">
        <v>203</v>
      </c>
      <c r="D7" s="13" t="s">
        <v>204</v>
      </c>
      <c r="E7" s="13" t="s">
        <v>205</v>
      </c>
      <c r="F7" s="13" t="s">
        <v>206</v>
      </c>
      <c r="G7" s="35" t="n">
        <f aca="false">'Effort Manday'!O43</f>
        <v>14.225</v>
      </c>
    </row>
    <row r="8" customFormat="false" ht="57.75" hidden="false" customHeight="true" outlineLevel="0" collapsed="false">
      <c r="A8" s="12" t="n">
        <v>3</v>
      </c>
      <c r="B8" s="13" t="s">
        <v>207</v>
      </c>
      <c r="C8" s="12" t="s">
        <v>208</v>
      </c>
      <c r="D8" s="13" t="s">
        <v>209</v>
      </c>
      <c r="E8" s="13" t="s">
        <v>210</v>
      </c>
      <c r="F8" s="13" t="s">
        <v>211</v>
      </c>
      <c r="G8" s="35" t="n">
        <f aca="false">'Effort Manday'!P43</f>
        <v>17.6083333333333</v>
      </c>
    </row>
    <row r="9" customFormat="false" ht="57.75" hidden="false" customHeight="true" outlineLevel="0" collapsed="false">
      <c r="A9" s="12" t="n">
        <v>4</v>
      </c>
      <c r="B9" s="13" t="s">
        <v>212</v>
      </c>
      <c r="C9" s="12" t="s">
        <v>213</v>
      </c>
      <c r="D9" s="13" t="s">
        <v>214</v>
      </c>
      <c r="E9" s="13" t="s">
        <v>215</v>
      </c>
      <c r="F9" s="13" t="s">
        <v>216</v>
      </c>
      <c r="G9" s="35" t="n">
        <f aca="false">'Effort Manday'!Q43</f>
        <v>15.675</v>
      </c>
    </row>
    <row r="10" customFormat="false" ht="15" hidden="false" customHeight="false" outlineLevel="0" collapsed="false">
      <c r="F10" s="36" t="s">
        <v>217</v>
      </c>
      <c r="G10" s="37" t="n">
        <f aca="false">SUM(G6:G9)</f>
        <v>64.0833333333333</v>
      </c>
    </row>
    <row r="12" customFormat="false" ht="15" hidden="false" customHeight="false" outlineLevel="0" collapsed="false">
      <c r="A12" s="3" t="s">
        <v>218</v>
      </c>
    </row>
    <row r="13" customFormat="false" ht="15" hidden="false" customHeight="false" outlineLevel="0" collapsed="false">
      <c r="A13" s="7" t="s">
        <v>50</v>
      </c>
      <c r="B13" s="7" t="s">
        <v>219</v>
      </c>
      <c r="C13" s="7" t="s">
        <v>80</v>
      </c>
      <c r="D13" s="7" t="s">
        <v>76</v>
      </c>
      <c r="E13" s="7" t="s">
        <v>90</v>
      </c>
      <c r="F13" s="7" t="s">
        <v>83</v>
      </c>
      <c r="G13" s="7" t="s">
        <v>220</v>
      </c>
      <c r="H13" s="7" t="s">
        <v>221</v>
      </c>
    </row>
    <row r="14" customFormat="false" ht="15" hidden="false" customHeight="false" outlineLevel="0" collapsed="false">
      <c r="A14" s="28" t="n">
        <v>1</v>
      </c>
      <c r="B14" s="13" t="s">
        <v>222</v>
      </c>
      <c r="C14" s="28" t="s">
        <v>223</v>
      </c>
      <c r="D14" s="11" t="s">
        <v>224</v>
      </c>
      <c r="E14" s="28" t="s">
        <v>225</v>
      </c>
      <c r="F14" s="28" t="s">
        <v>226</v>
      </c>
      <c r="G14" s="28" t="s">
        <v>226</v>
      </c>
      <c r="H14" s="28" t="s">
        <v>227</v>
      </c>
    </row>
    <row r="15" customFormat="false" ht="15" hidden="false" customHeight="false" outlineLevel="0" collapsed="false">
      <c r="A15" s="28" t="n">
        <v>2</v>
      </c>
      <c r="B15" s="13" t="s">
        <v>228</v>
      </c>
      <c r="C15" s="11" t="s">
        <v>224</v>
      </c>
      <c r="D15" s="28" t="s">
        <v>223</v>
      </c>
      <c r="E15" s="28" t="s">
        <v>225</v>
      </c>
      <c r="F15" s="28" t="s">
        <v>225</v>
      </c>
      <c r="G15" s="28" t="s">
        <v>226</v>
      </c>
      <c r="H15" s="28" t="s">
        <v>227</v>
      </c>
    </row>
    <row r="16" customFormat="false" ht="15" hidden="false" customHeight="false" outlineLevel="0" collapsed="false">
      <c r="A16" s="28" t="n">
        <v>3</v>
      </c>
      <c r="B16" s="13" t="s">
        <v>229</v>
      </c>
      <c r="C16" s="28" t="s">
        <v>225</v>
      </c>
      <c r="D16" s="11" t="s">
        <v>224</v>
      </c>
      <c r="E16" s="28" t="s">
        <v>225</v>
      </c>
      <c r="F16" s="11" t="s">
        <v>224</v>
      </c>
      <c r="G16" s="28" t="s">
        <v>226</v>
      </c>
      <c r="H16" s="28" t="s">
        <v>227</v>
      </c>
    </row>
    <row r="17" customFormat="false" ht="15" hidden="false" customHeight="false" outlineLevel="0" collapsed="false">
      <c r="A17" s="28" t="n">
        <v>4</v>
      </c>
      <c r="B17" s="13" t="s">
        <v>25</v>
      </c>
      <c r="C17" s="28" t="s">
        <v>223</v>
      </c>
      <c r="D17" s="28" t="s">
        <v>225</v>
      </c>
      <c r="E17" s="11" t="s">
        <v>224</v>
      </c>
      <c r="F17" s="28" t="s">
        <v>225</v>
      </c>
      <c r="G17" s="28" t="s">
        <v>226</v>
      </c>
      <c r="H17" s="28" t="s">
        <v>227</v>
      </c>
    </row>
    <row r="18" customFormat="false" ht="15" hidden="false" customHeight="false" outlineLevel="0" collapsed="false">
      <c r="A18" s="28" t="n">
        <v>5</v>
      </c>
      <c r="B18" s="13" t="s">
        <v>230</v>
      </c>
      <c r="C18" s="28" t="s">
        <v>223</v>
      </c>
      <c r="D18" s="28" t="s">
        <v>226</v>
      </c>
      <c r="E18" s="28" t="s">
        <v>226</v>
      </c>
      <c r="F18" s="11" t="s">
        <v>224</v>
      </c>
      <c r="G18" s="28" t="s">
        <v>227</v>
      </c>
      <c r="H18" s="28" t="s">
        <v>225</v>
      </c>
    </row>
    <row r="19" customFormat="false" ht="15" hidden="false" customHeight="false" outlineLevel="0" collapsed="false">
      <c r="A19" s="28" t="n">
        <v>6</v>
      </c>
      <c r="B19" s="13" t="s">
        <v>231</v>
      </c>
      <c r="C19" s="11" t="s">
        <v>224</v>
      </c>
      <c r="D19" s="28" t="s">
        <v>225</v>
      </c>
      <c r="E19" s="28" t="s">
        <v>225</v>
      </c>
      <c r="F19" s="28" t="s">
        <v>223</v>
      </c>
      <c r="G19" s="28" t="s">
        <v>226</v>
      </c>
      <c r="H19" s="28" t="s">
        <v>225</v>
      </c>
    </row>
    <row r="20" customFormat="false" ht="15" hidden="false" customHeight="false" outlineLevel="0" collapsed="false">
      <c r="A20" s="28" t="n">
        <v>7</v>
      </c>
      <c r="B20" s="13" t="s">
        <v>232</v>
      </c>
      <c r="C20" s="28" t="s">
        <v>225</v>
      </c>
      <c r="D20" s="28" t="s">
        <v>225</v>
      </c>
      <c r="E20" s="11" t="s">
        <v>224</v>
      </c>
      <c r="F20" s="28" t="s">
        <v>223</v>
      </c>
      <c r="G20" s="28" t="s">
        <v>226</v>
      </c>
      <c r="H20" s="28" t="s">
        <v>225</v>
      </c>
    </row>
    <row r="21" customFormat="false" ht="15" hidden="false" customHeight="false" outlineLevel="0" collapsed="false">
      <c r="A21" s="28" t="n">
        <v>8</v>
      </c>
      <c r="B21" s="13" t="s">
        <v>233</v>
      </c>
      <c r="C21" s="28" t="s">
        <v>223</v>
      </c>
      <c r="D21" s="11" t="s">
        <v>224</v>
      </c>
      <c r="E21" s="28" t="s">
        <v>223</v>
      </c>
      <c r="F21" s="28" t="s">
        <v>223</v>
      </c>
      <c r="G21" s="28" t="s">
        <v>226</v>
      </c>
      <c r="H21" s="28" t="s">
        <v>227</v>
      </c>
    </row>
    <row r="22" customFormat="false" ht="15" hidden="false" customHeight="false" outlineLevel="0" collapsed="false">
      <c r="A22" s="28" t="n">
        <v>9</v>
      </c>
      <c r="B22" s="13" t="s">
        <v>234</v>
      </c>
      <c r="C22" s="28" t="s">
        <v>226</v>
      </c>
      <c r="D22" s="28" t="s">
        <v>223</v>
      </c>
      <c r="E22" s="11" t="s">
        <v>224</v>
      </c>
      <c r="F22" s="28" t="s">
        <v>225</v>
      </c>
      <c r="G22" s="28" t="s">
        <v>226</v>
      </c>
      <c r="H22" s="28" t="s">
        <v>227</v>
      </c>
    </row>
    <row r="23" customFormat="false" ht="15" hidden="false" customHeight="false" outlineLevel="0" collapsed="false">
      <c r="A23" s="28" t="n">
        <v>10</v>
      </c>
      <c r="B23" s="13" t="s">
        <v>235</v>
      </c>
      <c r="C23" s="28" t="s">
        <v>226</v>
      </c>
      <c r="D23" s="28" t="s">
        <v>226</v>
      </c>
      <c r="E23" s="28" t="s">
        <v>225</v>
      </c>
      <c r="F23" s="11" t="s">
        <v>224</v>
      </c>
      <c r="G23" s="28" t="s">
        <v>227</v>
      </c>
      <c r="H23" s="28" t="s">
        <v>225</v>
      </c>
    </row>
    <row r="24" customFormat="false" ht="15" hidden="false" customHeight="false" outlineLevel="0" collapsed="false">
      <c r="A24" s="28" t="n">
        <v>11</v>
      </c>
      <c r="B24" s="13" t="s">
        <v>236</v>
      </c>
      <c r="C24" s="11" t="s">
        <v>224</v>
      </c>
      <c r="D24" s="28" t="s">
        <v>223</v>
      </c>
      <c r="E24" s="11" t="s">
        <v>224</v>
      </c>
      <c r="F24" s="28" t="s">
        <v>223</v>
      </c>
      <c r="G24" s="28" t="s">
        <v>226</v>
      </c>
      <c r="H24" s="28" t="s">
        <v>225</v>
      </c>
    </row>
    <row r="25" customFormat="false" ht="15" hidden="false" customHeight="false" outlineLevel="0" collapsed="false">
      <c r="A25" s="28" t="n">
        <v>12</v>
      </c>
      <c r="B25" s="13" t="s">
        <v>237</v>
      </c>
      <c r="C25" s="11" t="s">
        <v>224</v>
      </c>
      <c r="D25" s="28" t="s">
        <v>223</v>
      </c>
      <c r="E25" s="28" t="s">
        <v>223</v>
      </c>
      <c r="F25" s="28" t="s">
        <v>223</v>
      </c>
      <c r="G25" s="28" t="s">
        <v>225</v>
      </c>
      <c r="H25" s="28" t="s">
        <v>226</v>
      </c>
    </row>
    <row r="26" customFormat="false" ht="15" hidden="false" customHeight="false" outlineLevel="0" collapsed="false">
      <c r="A26" s="28" t="n">
        <v>13</v>
      </c>
      <c r="B26" s="13" t="s">
        <v>238</v>
      </c>
      <c r="C26" s="28" t="s">
        <v>223</v>
      </c>
      <c r="D26" s="28" t="s">
        <v>223</v>
      </c>
      <c r="E26" s="28" t="s">
        <v>223</v>
      </c>
      <c r="F26" s="11" t="s">
        <v>224</v>
      </c>
      <c r="G26" s="28" t="s">
        <v>225</v>
      </c>
      <c r="H26" s="28" t="s">
        <v>227</v>
      </c>
    </row>
    <row r="28" customFormat="false" ht="15" hidden="false" customHeight="false" outlineLevel="0" collapsed="false">
      <c r="A28" s="3" t="s">
        <v>239</v>
      </c>
    </row>
    <row r="29" customFormat="false" ht="15" hidden="false" customHeight="false" outlineLevel="0" collapsed="false">
      <c r="A29" s="7" t="s">
        <v>50</v>
      </c>
      <c r="B29" s="7" t="s">
        <v>240</v>
      </c>
      <c r="C29" s="7" t="s">
        <v>241</v>
      </c>
      <c r="D29" s="7" t="s">
        <v>242</v>
      </c>
      <c r="E29" s="7" t="s">
        <v>243</v>
      </c>
      <c r="F29" s="7" t="s">
        <v>244</v>
      </c>
      <c r="G29" s="7" t="s">
        <v>245</v>
      </c>
    </row>
    <row r="30" customFormat="false" ht="23.85" hidden="false" customHeight="false" outlineLevel="0" collapsed="false">
      <c r="A30" s="12" t="n">
        <v>1</v>
      </c>
      <c r="B30" s="13" t="s">
        <v>246</v>
      </c>
      <c r="C30" s="13" t="s">
        <v>247</v>
      </c>
      <c r="D30" s="13" t="s">
        <v>248</v>
      </c>
      <c r="E30" s="13" t="s">
        <v>249</v>
      </c>
      <c r="F30" s="13" t="s">
        <v>250</v>
      </c>
      <c r="G30" s="13" t="s">
        <v>251</v>
      </c>
    </row>
    <row r="31" customFormat="false" ht="23.85" hidden="false" customHeight="false" outlineLevel="0" collapsed="false">
      <c r="A31" s="12" t="n">
        <v>2</v>
      </c>
      <c r="B31" s="13" t="s">
        <v>252</v>
      </c>
      <c r="C31" s="13" t="s">
        <v>253</v>
      </c>
      <c r="D31" s="13" t="s">
        <v>254</v>
      </c>
      <c r="E31" s="13" t="s">
        <v>255</v>
      </c>
      <c r="F31" s="13" t="s">
        <v>256</v>
      </c>
      <c r="G31" s="13" t="s">
        <v>257</v>
      </c>
    </row>
    <row r="32" customFormat="false" ht="15" hidden="false" customHeight="false" outlineLevel="0" collapsed="false">
      <c r="A32" s="12" t="n">
        <v>3</v>
      </c>
      <c r="B32" s="13" t="s">
        <v>258</v>
      </c>
      <c r="C32" s="13" t="s">
        <v>259</v>
      </c>
      <c r="D32" s="13" t="s">
        <v>254</v>
      </c>
      <c r="E32" s="13" t="s">
        <v>249</v>
      </c>
      <c r="F32" s="13" t="s">
        <v>260</v>
      </c>
      <c r="G32" s="13" t="s">
        <v>261</v>
      </c>
    </row>
    <row r="33" customFormat="false" ht="23.85" hidden="false" customHeight="false" outlineLevel="0" collapsed="false">
      <c r="A33" s="12" t="n">
        <v>4</v>
      </c>
      <c r="B33" s="13" t="s">
        <v>262</v>
      </c>
      <c r="C33" s="13" t="s">
        <v>263</v>
      </c>
      <c r="D33" s="13" t="s">
        <v>264</v>
      </c>
      <c r="E33" s="13" t="s">
        <v>265</v>
      </c>
      <c r="F33" s="13" t="s">
        <v>266</v>
      </c>
      <c r="G33" s="13" t="s">
        <v>267</v>
      </c>
    </row>
    <row r="34" customFormat="false" ht="23.85" hidden="false" customHeight="false" outlineLevel="0" collapsed="false">
      <c r="A34" s="12" t="n">
        <v>5</v>
      </c>
      <c r="B34" s="13" t="s">
        <v>268</v>
      </c>
      <c r="C34" s="13" t="s">
        <v>263</v>
      </c>
      <c r="D34" s="13" t="s">
        <v>269</v>
      </c>
      <c r="E34" s="13" t="s">
        <v>265</v>
      </c>
      <c r="F34" s="13" t="s">
        <v>270</v>
      </c>
      <c r="G34" s="13" t="s">
        <v>271</v>
      </c>
    </row>
    <row r="35" customFormat="false" ht="15" hidden="false" customHeight="false" outlineLevel="0" collapsed="false">
      <c r="A35" s="12" t="n">
        <v>6</v>
      </c>
      <c r="B35" s="13" t="s">
        <v>272</v>
      </c>
      <c r="C35" s="13" t="s">
        <v>273</v>
      </c>
      <c r="D35" s="13" t="s">
        <v>274</v>
      </c>
      <c r="E35" s="13" t="s">
        <v>275</v>
      </c>
      <c r="F35" s="13" t="s">
        <v>276</v>
      </c>
      <c r="G35" s="13" t="s">
        <v>277</v>
      </c>
    </row>
    <row r="36" customFormat="false" ht="23.85" hidden="false" customHeight="false" outlineLevel="0" collapsed="false">
      <c r="A36" s="12" t="n">
        <v>7</v>
      </c>
      <c r="B36" s="13" t="s">
        <v>278</v>
      </c>
      <c r="C36" s="13" t="s">
        <v>279</v>
      </c>
      <c r="D36" s="13" t="s">
        <v>280</v>
      </c>
      <c r="E36" s="13" t="s">
        <v>275</v>
      </c>
      <c r="F36" s="13" t="s">
        <v>281</v>
      </c>
      <c r="G36" s="13" t="s">
        <v>282</v>
      </c>
    </row>
    <row r="37" customFormat="false" ht="15" hidden="false" customHeight="false" outlineLevel="0" collapsed="false">
      <c r="A37" s="12" t="n">
        <v>8</v>
      </c>
      <c r="B37" s="13" t="s">
        <v>283</v>
      </c>
      <c r="C37" s="13" t="s">
        <v>284</v>
      </c>
      <c r="D37" s="13" t="s">
        <v>285</v>
      </c>
      <c r="E37" s="13" t="s">
        <v>275</v>
      </c>
      <c r="F37" s="13" t="s">
        <v>107</v>
      </c>
      <c r="G37" s="13" t="s">
        <v>286</v>
      </c>
    </row>
    <row r="38" customFormat="false" ht="15" hidden="false" customHeight="false" outlineLevel="0" collapsed="false">
      <c r="A38" s="12" t="n">
        <v>9</v>
      </c>
      <c r="B38" s="13" t="s">
        <v>287</v>
      </c>
      <c r="C38" s="13" t="s">
        <v>284</v>
      </c>
      <c r="D38" s="13" t="s">
        <v>288</v>
      </c>
      <c r="E38" s="13" t="s">
        <v>275</v>
      </c>
      <c r="F38" s="13" t="s">
        <v>289</v>
      </c>
      <c r="G38" s="13" t="s">
        <v>290</v>
      </c>
    </row>
    <row r="39" customFormat="false" ht="23.85" hidden="false" customHeight="false" outlineLevel="0" collapsed="false">
      <c r="A39" s="12" t="n">
        <v>10</v>
      </c>
      <c r="B39" s="13" t="s">
        <v>291</v>
      </c>
      <c r="C39" s="13" t="s">
        <v>284</v>
      </c>
      <c r="D39" s="13" t="s">
        <v>288</v>
      </c>
      <c r="E39" s="13" t="s">
        <v>292</v>
      </c>
      <c r="F39" s="13" t="s">
        <v>293</v>
      </c>
      <c r="G39" s="13" t="s">
        <v>294</v>
      </c>
    </row>
    <row r="40" customFormat="false" ht="23.85" hidden="false" customHeight="false" outlineLevel="0" collapsed="false">
      <c r="A40" s="12" t="n">
        <v>11</v>
      </c>
      <c r="B40" s="13" t="s">
        <v>295</v>
      </c>
      <c r="C40" s="13" t="s">
        <v>296</v>
      </c>
      <c r="D40" s="13" t="s">
        <v>297</v>
      </c>
      <c r="E40" s="13" t="s">
        <v>298</v>
      </c>
      <c r="F40" s="13" t="s">
        <v>250</v>
      </c>
      <c r="G40" s="13" t="s">
        <v>299</v>
      </c>
    </row>
    <row r="41" customFormat="false" ht="23.85" hidden="false" customHeight="false" outlineLevel="0" collapsed="false">
      <c r="A41" s="12" t="n">
        <v>12</v>
      </c>
      <c r="B41" s="13" t="s">
        <v>300</v>
      </c>
      <c r="C41" s="13" t="s">
        <v>301</v>
      </c>
      <c r="D41" s="13" t="s">
        <v>302</v>
      </c>
      <c r="E41" s="13" t="s">
        <v>255</v>
      </c>
      <c r="F41" s="13" t="s">
        <v>303</v>
      </c>
      <c r="G41" s="13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50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3" min="11" style="0" width="13"/>
    <col collapsed="false" customWidth="true" hidden="false" outlineLevel="0" max="17" min="14" style="0" width="9"/>
  </cols>
  <sheetData>
    <row r="1" customFormat="false" ht="17.35" hidden="false" customHeight="false" outlineLevel="0" collapsed="false">
      <c r="A1" s="1" t="s">
        <v>305</v>
      </c>
    </row>
    <row r="2" customFormat="false" ht="15" hidden="false" customHeight="false" outlineLevel="0" collapsed="false">
      <c r="A2" s="2" t="s">
        <v>306</v>
      </c>
    </row>
    <row r="5" customFormat="false" ht="42" hidden="false" customHeight="true" outlineLevel="0" collapsed="false">
      <c r="A5" s="7" t="s">
        <v>50</v>
      </c>
      <c r="B5" s="7" t="s">
        <v>51</v>
      </c>
      <c r="C5" s="7" t="s">
        <v>52</v>
      </c>
      <c r="D5" s="7" t="s">
        <v>307</v>
      </c>
      <c r="E5" s="7" t="s">
        <v>53</v>
      </c>
      <c r="F5" s="7" t="s">
        <v>308</v>
      </c>
      <c r="G5" s="7" t="s">
        <v>309</v>
      </c>
      <c r="H5" s="7" t="s">
        <v>310</v>
      </c>
      <c r="I5" s="7" t="s">
        <v>311</v>
      </c>
      <c r="J5" s="7" t="s">
        <v>312</v>
      </c>
      <c r="K5" s="7" t="s">
        <v>313</v>
      </c>
      <c r="L5" s="7" t="s">
        <v>314</v>
      </c>
      <c r="M5" s="7" t="s">
        <v>315</v>
      </c>
      <c r="N5" s="7" t="s">
        <v>80</v>
      </c>
      <c r="O5" s="7" t="s">
        <v>76</v>
      </c>
      <c r="P5" s="7" t="s">
        <v>90</v>
      </c>
      <c r="Q5" s="7" t="s">
        <v>83</v>
      </c>
    </row>
    <row r="6" customFormat="false" ht="15" hidden="false" customHeight="false" outlineLevel="0" collapsed="false">
      <c r="A6" s="12" t="n">
        <v>1</v>
      </c>
      <c r="B6" s="12" t="s">
        <v>74</v>
      </c>
      <c r="C6" s="13" t="s">
        <v>75</v>
      </c>
      <c r="D6" s="13" t="s">
        <v>316</v>
      </c>
      <c r="E6" s="13" t="s">
        <v>76</v>
      </c>
      <c r="F6" s="12" t="n">
        <v>1</v>
      </c>
      <c r="G6" s="38" t="n">
        <v>1</v>
      </c>
      <c r="H6" s="38" t="n">
        <v>1.5</v>
      </c>
      <c r="I6" s="38" t="n">
        <v>2.5</v>
      </c>
      <c r="J6" s="39" t="n">
        <f aca="false">(G6+4*H6+I6)/6</f>
        <v>1.58333333333333</v>
      </c>
      <c r="K6" s="10" t="n">
        <f aca="false">ROUNDUP(ROUND(J6/F6,6),0)</f>
        <v>2</v>
      </c>
      <c r="L6" s="40"/>
      <c r="M6" s="41" t="n">
        <f aca="false">IF(L6="",K6,L6)</f>
        <v>2</v>
      </c>
      <c r="N6" s="42" t="n">
        <f aca="false">IF(ISNUMBER(SEARCH(N$5,$E6)),$J6/$F6,0)</f>
        <v>0</v>
      </c>
      <c r="O6" s="42" t="n">
        <f aca="false">IF(ISNUMBER(SEARCH(O$5,$E6)),$J6/$F6,0)</f>
        <v>1.58333333333333</v>
      </c>
      <c r="P6" s="42" t="n">
        <f aca="false">IF(ISNUMBER(SEARCH(P$5,$E6)),$J6/$F6,0)</f>
        <v>0</v>
      </c>
      <c r="Q6" s="42" t="n">
        <f aca="false">IF(ISNUMBER(SEARCH(Q$5,$E6)),$J6/$F6,0)</f>
        <v>0</v>
      </c>
    </row>
    <row r="7" customFormat="false" ht="15" hidden="false" customHeight="false" outlineLevel="0" collapsed="false">
      <c r="A7" s="12" t="n">
        <v>2</v>
      </c>
      <c r="B7" s="12" t="s">
        <v>78</v>
      </c>
      <c r="C7" s="13" t="s">
        <v>79</v>
      </c>
      <c r="D7" s="13" t="s">
        <v>316</v>
      </c>
      <c r="E7" s="13" t="s">
        <v>80</v>
      </c>
      <c r="F7" s="12" t="n">
        <v>1</v>
      </c>
      <c r="G7" s="38" t="n">
        <v>1</v>
      </c>
      <c r="H7" s="38" t="n">
        <v>1.5</v>
      </c>
      <c r="I7" s="38" t="n">
        <v>2.5</v>
      </c>
      <c r="J7" s="39" t="n">
        <f aca="false">(G7+4*H7+I7)/6</f>
        <v>1.58333333333333</v>
      </c>
      <c r="K7" s="10" t="n">
        <f aca="false">ROUNDUP(ROUND(J7/F7,6),0)</f>
        <v>2</v>
      </c>
      <c r="L7" s="40"/>
      <c r="M7" s="41" t="n">
        <f aca="false">IF(L7="",K7,L7)</f>
        <v>2</v>
      </c>
      <c r="N7" s="42" t="n">
        <f aca="false">IF(ISNUMBER(SEARCH(N$5,$E7)),$J7/$F7,0)</f>
        <v>1.58333333333333</v>
      </c>
      <c r="O7" s="42" t="n">
        <f aca="false">IF(ISNUMBER(SEARCH(O$5,$E7)),$J7/$F7,0)</f>
        <v>0</v>
      </c>
      <c r="P7" s="42" t="n">
        <f aca="false">IF(ISNUMBER(SEARCH(P$5,$E7)),$J7/$F7,0)</f>
        <v>0</v>
      </c>
      <c r="Q7" s="42" t="n">
        <f aca="false">IF(ISNUMBER(SEARCH(Q$5,$E7)),$J7/$F7,0)</f>
        <v>0</v>
      </c>
    </row>
    <row r="8" customFormat="false" ht="15" hidden="false" customHeight="false" outlineLevel="0" collapsed="false">
      <c r="A8" s="12" t="n">
        <v>3</v>
      </c>
      <c r="B8" s="12" t="s">
        <v>81</v>
      </c>
      <c r="C8" s="13" t="s">
        <v>82</v>
      </c>
      <c r="D8" s="13" t="s">
        <v>316</v>
      </c>
      <c r="E8" s="13" t="s">
        <v>83</v>
      </c>
      <c r="F8" s="12" t="n">
        <v>1</v>
      </c>
      <c r="G8" s="38" t="n">
        <v>0.5</v>
      </c>
      <c r="H8" s="38" t="n">
        <v>0.8</v>
      </c>
      <c r="I8" s="38" t="n">
        <v>1.2</v>
      </c>
      <c r="J8" s="39" t="n">
        <f aca="false">(G8+4*H8+I8)/6</f>
        <v>0.816666666666667</v>
      </c>
      <c r="K8" s="10" t="n">
        <f aca="false">ROUNDUP(ROUND(J8/F8,6),0)</f>
        <v>1</v>
      </c>
      <c r="L8" s="40"/>
      <c r="M8" s="41" t="n">
        <f aca="false">IF(L8="",K8,L8)</f>
        <v>1</v>
      </c>
      <c r="N8" s="42" t="n">
        <f aca="false">IF(ISNUMBER(SEARCH(N$5,$E8)),$J8/$F8,0)</f>
        <v>0</v>
      </c>
      <c r="O8" s="42" t="n">
        <f aca="false">IF(ISNUMBER(SEARCH(O$5,$E8)),$J8/$F8,0)</f>
        <v>0</v>
      </c>
      <c r="P8" s="42" t="n">
        <f aca="false">IF(ISNUMBER(SEARCH(P$5,$E8)),$J8/$F8,0)</f>
        <v>0</v>
      </c>
      <c r="Q8" s="42" t="n">
        <f aca="false">IF(ISNUMBER(SEARCH(Q$5,$E8)),$J8/$F8,0)</f>
        <v>0.816666666666667</v>
      </c>
    </row>
    <row r="9" customFormat="false" ht="15" hidden="false" customHeight="false" outlineLevel="0" collapsed="false">
      <c r="A9" s="12" t="n">
        <v>4</v>
      </c>
      <c r="B9" s="12" t="s">
        <v>85</v>
      </c>
      <c r="C9" s="13" t="s">
        <v>86</v>
      </c>
      <c r="D9" s="13" t="s">
        <v>316</v>
      </c>
      <c r="E9" s="13" t="s">
        <v>76</v>
      </c>
      <c r="F9" s="12" t="n">
        <v>1</v>
      </c>
      <c r="G9" s="38" t="n">
        <v>0.5</v>
      </c>
      <c r="H9" s="38" t="n">
        <v>0.8</v>
      </c>
      <c r="I9" s="38" t="n">
        <v>1.2</v>
      </c>
      <c r="J9" s="39" t="n">
        <f aca="false">(G9+4*H9+I9)/6</f>
        <v>0.816666666666667</v>
      </c>
      <c r="K9" s="10" t="n">
        <f aca="false">ROUNDUP(ROUND(J9/F9,6),0)</f>
        <v>1</v>
      </c>
      <c r="L9" s="40"/>
      <c r="M9" s="41" t="n">
        <f aca="false">IF(L9="",K9,L9)</f>
        <v>1</v>
      </c>
      <c r="N9" s="42" t="n">
        <f aca="false">IF(ISNUMBER(SEARCH(N$5,$E9)),$J9/$F9,0)</f>
        <v>0</v>
      </c>
      <c r="O9" s="42" t="n">
        <f aca="false">IF(ISNUMBER(SEARCH(O$5,$E9)),$J9/$F9,0)</f>
        <v>0.816666666666667</v>
      </c>
      <c r="P9" s="42" t="n">
        <f aca="false">IF(ISNUMBER(SEARCH(P$5,$E9)),$J9/$F9,0)</f>
        <v>0</v>
      </c>
      <c r="Q9" s="42" t="n">
        <f aca="false">IF(ISNUMBER(SEARCH(Q$5,$E9)),$J9/$F9,0)</f>
        <v>0</v>
      </c>
    </row>
    <row r="10" customFormat="false" ht="15" hidden="false" customHeight="false" outlineLevel="0" collapsed="false">
      <c r="A10" s="12" t="n">
        <v>5</v>
      </c>
      <c r="B10" s="12" t="s">
        <v>88</v>
      </c>
      <c r="C10" s="13" t="s">
        <v>89</v>
      </c>
      <c r="D10" s="13" t="s">
        <v>316</v>
      </c>
      <c r="E10" s="13" t="s">
        <v>90</v>
      </c>
      <c r="F10" s="12" t="n">
        <v>1</v>
      </c>
      <c r="G10" s="38" t="n">
        <v>1</v>
      </c>
      <c r="H10" s="38" t="n">
        <v>1.5</v>
      </c>
      <c r="I10" s="38" t="n">
        <v>2.5</v>
      </c>
      <c r="J10" s="39" t="n">
        <f aca="false">(G10+4*H10+I10)/6</f>
        <v>1.58333333333333</v>
      </c>
      <c r="K10" s="10" t="n">
        <f aca="false">ROUNDUP(ROUND(J10/F10,6),0)</f>
        <v>2</v>
      </c>
      <c r="L10" s="40"/>
      <c r="M10" s="41" t="n">
        <f aca="false">IF(L10="",K10,L10)</f>
        <v>2</v>
      </c>
      <c r="N10" s="42" t="n">
        <f aca="false">IF(ISNUMBER(SEARCH(N$5,$E10)),$J10/$F10,0)</f>
        <v>0</v>
      </c>
      <c r="O10" s="42" t="n">
        <f aca="false">IF(ISNUMBER(SEARCH(O$5,$E10)),$J10/$F10,0)</f>
        <v>0</v>
      </c>
      <c r="P10" s="42" t="n">
        <f aca="false">IF(ISNUMBER(SEARCH(P$5,$E10)),$J10/$F10,0)</f>
        <v>1.58333333333333</v>
      </c>
      <c r="Q10" s="42" t="n">
        <f aca="false">IF(ISNUMBER(SEARCH(Q$5,$E10)),$J10/$F10,0)</f>
        <v>0</v>
      </c>
    </row>
    <row r="11" customFormat="false" ht="15" hidden="false" customHeight="false" outlineLevel="0" collapsed="false">
      <c r="A11" s="12" t="n">
        <v>6</v>
      </c>
      <c r="B11" s="12" t="s">
        <v>91</v>
      </c>
      <c r="C11" s="13" t="s">
        <v>92</v>
      </c>
      <c r="D11" s="13" t="s">
        <v>316</v>
      </c>
      <c r="E11" s="13" t="s">
        <v>93</v>
      </c>
      <c r="F11" s="12" t="n">
        <v>2</v>
      </c>
      <c r="G11" s="38" t="n">
        <v>0.5</v>
      </c>
      <c r="H11" s="38" t="n">
        <v>1</v>
      </c>
      <c r="I11" s="38" t="n">
        <v>1.5</v>
      </c>
      <c r="J11" s="39" t="n">
        <f aca="false">(G11+4*H11+I11)/6</f>
        <v>1</v>
      </c>
      <c r="K11" s="10" t="n">
        <f aca="false">ROUNDUP(ROUND(J11/F11,6),0)</f>
        <v>1</v>
      </c>
      <c r="L11" s="40"/>
      <c r="M11" s="41" t="n">
        <f aca="false">IF(L11="",K11,L11)</f>
        <v>1</v>
      </c>
      <c r="N11" s="42" t="n">
        <f aca="false">IF(ISNUMBER(SEARCH(N$5,$E11)),$J11/$F11,0)</f>
        <v>0.5</v>
      </c>
      <c r="O11" s="42" t="n">
        <f aca="false">IF(ISNUMBER(SEARCH(O$5,$E11)),$J11/$F11,0)</f>
        <v>0.5</v>
      </c>
      <c r="P11" s="42" t="n">
        <f aca="false">IF(ISNUMBER(SEARCH(P$5,$E11)),$J11/$F11,0)</f>
        <v>0</v>
      </c>
      <c r="Q11" s="42" t="n">
        <f aca="false">IF(ISNUMBER(SEARCH(Q$5,$E11)),$J11/$F11,0)</f>
        <v>0</v>
      </c>
    </row>
    <row r="12" customFormat="false" ht="15" hidden="false" customHeight="false" outlineLevel="0" collapsed="false">
      <c r="A12" s="12" t="n">
        <v>7</v>
      </c>
      <c r="B12" s="12" t="s">
        <v>96</v>
      </c>
      <c r="C12" s="13" t="s">
        <v>97</v>
      </c>
      <c r="D12" s="13" t="s">
        <v>317</v>
      </c>
      <c r="E12" s="13" t="s">
        <v>83</v>
      </c>
      <c r="F12" s="12" t="n">
        <v>1</v>
      </c>
      <c r="G12" s="38" t="n">
        <v>2</v>
      </c>
      <c r="H12" s="38" t="n">
        <v>3</v>
      </c>
      <c r="I12" s="38" t="n">
        <v>4</v>
      </c>
      <c r="J12" s="39" t="n">
        <f aca="false">(G12+4*H12+I12)/6</f>
        <v>3</v>
      </c>
      <c r="K12" s="10" t="n">
        <f aca="false">ROUNDUP(ROUND(J12/F12,6),0)</f>
        <v>3</v>
      </c>
      <c r="L12" s="40"/>
      <c r="M12" s="41" t="n">
        <f aca="false">IF(L12="",K12,L12)</f>
        <v>3</v>
      </c>
      <c r="N12" s="42" t="n">
        <f aca="false">IF(ISNUMBER(SEARCH(N$5,$E12)),$J12/$F12,0)</f>
        <v>0</v>
      </c>
      <c r="O12" s="42" t="n">
        <f aca="false">IF(ISNUMBER(SEARCH(O$5,$E12)),$J12/$F12,0)</f>
        <v>0</v>
      </c>
      <c r="P12" s="42" t="n">
        <f aca="false">IF(ISNUMBER(SEARCH(P$5,$E12)),$J12/$F12,0)</f>
        <v>0</v>
      </c>
      <c r="Q12" s="42" t="n">
        <f aca="false">IF(ISNUMBER(SEARCH(Q$5,$E12)),$J12/$F12,0)</f>
        <v>3</v>
      </c>
    </row>
    <row r="13" customFormat="false" ht="15" hidden="false" customHeight="false" outlineLevel="0" collapsed="false">
      <c r="A13" s="12" t="n">
        <v>8</v>
      </c>
      <c r="B13" s="12" t="s">
        <v>99</v>
      </c>
      <c r="C13" s="13" t="s">
        <v>100</v>
      </c>
      <c r="D13" s="13" t="s">
        <v>317</v>
      </c>
      <c r="E13" s="13" t="s">
        <v>80</v>
      </c>
      <c r="F13" s="12" t="n">
        <v>1</v>
      </c>
      <c r="G13" s="38" t="n">
        <v>1</v>
      </c>
      <c r="H13" s="38" t="n">
        <v>1.5</v>
      </c>
      <c r="I13" s="38" t="n">
        <v>2.5</v>
      </c>
      <c r="J13" s="39" t="n">
        <f aca="false">(G13+4*H13+I13)/6</f>
        <v>1.58333333333333</v>
      </c>
      <c r="K13" s="10" t="n">
        <f aca="false">ROUNDUP(ROUND(J13/F13,6),0)</f>
        <v>2</v>
      </c>
      <c r="L13" s="40"/>
      <c r="M13" s="41" t="n">
        <f aca="false">IF(L13="",K13,L13)</f>
        <v>2</v>
      </c>
      <c r="N13" s="42" t="n">
        <f aca="false">IF(ISNUMBER(SEARCH(N$5,$E13)),$J13/$F13,0)</f>
        <v>1.58333333333333</v>
      </c>
      <c r="O13" s="42" t="n">
        <f aca="false">IF(ISNUMBER(SEARCH(O$5,$E13)),$J13/$F13,0)</f>
        <v>0</v>
      </c>
      <c r="P13" s="42" t="n">
        <f aca="false">IF(ISNUMBER(SEARCH(P$5,$E13)),$J13/$F13,0)</f>
        <v>0</v>
      </c>
      <c r="Q13" s="42" t="n">
        <f aca="false">IF(ISNUMBER(SEARCH(Q$5,$E13)),$J13/$F13,0)</f>
        <v>0</v>
      </c>
    </row>
    <row r="14" customFormat="false" ht="15" hidden="false" customHeight="false" outlineLevel="0" collapsed="false">
      <c r="A14" s="12" t="n">
        <v>9</v>
      </c>
      <c r="B14" s="12" t="s">
        <v>101</v>
      </c>
      <c r="C14" s="13" t="s">
        <v>102</v>
      </c>
      <c r="D14" s="13" t="s">
        <v>317</v>
      </c>
      <c r="E14" s="13" t="s">
        <v>80</v>
      </c>
      <c r="F14" s="12" t="n">
        <v>1</v>
      </c>
      <c r="G14" s="38" t="n">
        <v>1</v>
      </c>
      <c r="H14" s="38" t="n">
        <v>1.5</v>
      </c>
      <c r="I14" s="38" t="n">
        <v>2.5</v>
      </c>
      <c r="J14" s="39" t="n">
        <f aca="false">(G14+4*H14+I14)/6</f>
        <v>1.58333333333333</v>
      </c>
      <c r="K14" s="10" t="n">
        <f aca="false">ROUNDUP(ROUND(J14/F14,6),0)</f>
        <v>2</v>
      </c>
      <c r="L14" s="40"/>
      <c r="M14" s="41" t="n">
        <f aca="false">IF(L14="",K14,L14)</f>
        <v>2</v>
      </c>
      <c r="N14" s="42" t="n">
        <f aca="false">IF(ISNUMBER(SEARCH(N$5,$E14)),$J14/$F14,0)</f>
        <v>1.58333333333333</v>
      </c>
      <c r="O14" s="42" t="n">
        <f aca="false">IF(ISNUMBER(SEARCH(O$5,$E14)),$J14/$F14,0)</f>
        <v>0</v>
      </c>
      <c r="P14" s="42" t="n">
        <f aca="false">IF(ISNUMBER(SEARCH(P$5,$E14)),$J14/$F14,0)</f>
        <v>0</v>
      </c>
      <c r="Q14" s="42" t="n">
        <f aca="false">IF(ISNUMBER(SEARCH(Q$5,$E14)),$J14/$F14,0)</f>
        <v>0</v>
      </c>
    </row>
    <row r="15" customFormat="false" ht="15" hidden="false" customHeight="false" outlineLevel="0" collapsed="false">
      <c r="A15" s="12" t="n">
        <v>10</v>
      </c>
      <c r="B15" s="12" t="s">
        <v>105</v>
      </c>
      <c r="C15" s="13" t="s">
        <v>106</v>
      </c>
      <c r="D15" s="13" t="s">
        <v>318</v>
      </c>
      <c r="E15" s="13" t="s">
        <v>90</v>
      </c>
      <c r="F15" s="12" t="n">
        <v>1</v>
      </c>
      <c r="G15" s="38" t="n">
        <v>1</v>
      </c>
      <c r="H15" s="38" t="n">
        <v>1.5</v>
      </c>
      <c r="I15" s="38" t="n">
        <v>2.5</v>
      </c>
      <c r="J15" s="39" t="n">
        <f aca="false">(G15+4*H15+I15)/6</f>
        <v>1.58333333333333</v>
      </c>
      <c r="K15" s="10" t="n">
        <f aca="false">ROUNDUP(ROUND(J15/F15,6),0)</f>
        <v>2</v>
      </c>
      <c r="L15" s="40"/>
      <c r="M15" s="41" t="n">
        <f aca="false">IF(L15="",K15,L15)</f>
        <v>2</v>
      </c>
      <c r="N15" s="42" t="n">
        <f aca="false">IF(ISNUMBER(SEARCH(N$5,$E15)),$J15/$F15,0)</f>
        <v>0</v>
      </c>
      <c r="O15" s="42" t="n">
        <f aca="false">IF(ISNUMBER(SEARCH(O$5,$E15)),$J15/$F15,0)</f>
        <v>0</v>
      </c>
      <c r="P15" s="42" t="n">
        <f aca="false">IF(ISNUMBER(SEARCH(P$5,$E15)),$J15/$F15,0)</f>
        <v>1.58333333333333</v>
      </c>
      <c r="Q15" s="42" t="n">
        <f aca="false">IF(ISNUMBER(SEARCH(Q$5,$E15)),$J15/$F15,0)</f>
        <v>0</v>
      </c>
    </row>
    <row r="16" customFormat="false" ht="15" hidden="false" customHeight="false" outlineLevel="0" collapsed="false">
      <c r="A16" s="12" t="n">
        <v>11</v>
      </c>
      <c r="B16" s="12" t="s">
        <v>107</v>
      </c>
      <c r="C16" s="13" t="s">
        <v>108</v>
      </c>
      <c r="D16" s="13" t="s">
        <v>318</v>
      </c>
      <c r="E16" s="13" t="s">
        <v>90</v>
      </c>
      <c r="F16" s="12" t="n">
        <v>1</v>
      </c>
      <c r="G16" s="38" t="n">
        <v>2</v>
      </c>
      <c r="H16" s="38" t="n">
        <v>3</v>
      </c>
      <c r="I16" s="38" t="n">
        <v>4</v>
      </c>
      <c r="J16" s="39" t="n">
        <f aca="false">(G16+4*H16+I16)/6</f>
        <v>3</v>
      </c>
      <c r="K16" s="10" t="n">
        <f aca="false">ROUNDUP(ROUND(J16/F16,6),0)</f>
        <v>3</v>
      </c>
      <c r="L16" s="40"/>
      <c r="M16" s="41" t="n">
        <f aca="false">IF(L16="",K16,L16)</f>
        <v>3</v>
      </c>
      <c r="N16" s="42" t="n">
        <f aca="false">IF(ISNUMBER(SEARCH(N$5,$E16)),$J16/$F16,0)</f>
        <v>0</v>
      </c>
      <c r="O16" s="42" t="n">
        <f aca="false">IF(ISNUMBER(SEARCH(O$5,$E16)),$J16/$F16,0)</f>
        <v>0</v>
      </c>
      <c r="P16" s="42" t="n">
        <f aca="false">IF(ISNUMBER(SEARCH(P$5,$E16)),$J16/$F16,0)</f>
        <v>3</v>
      </c>
      <c r="Q16" s="42" t="n">
        <f aca="false">IF(ISNUMBER(SEARCH(Q$5,$E16)),$J16/$F16,0)</f>
        <v>0</v>
      </c>
    </row>
    <row r="17" customFormat="false" ht="15" hidden="false" customHeight="false" outlineLevel="0" collapsed="false">
      <c r="A17" s="12" t="n">
        <v>12</v>
      </c>
      <c r="B17" s="12" t="s">
        <v>110</v>
      </c>
      <c r="C17" s="13" t="s">
        <v>111</v>
      </c>
      <c r="D17" s="13" t="s">
        <v>318</v>
      </c>
      <c r="E17" s="13" t="s">
        <v>76</v>
      </c>
      <c r="F17" s="12" t="n">
        <v>1</v>
      </c>
      <c r="G17" s="38" t="n">
        <v>0.5</v>
      </c>
      <c r="H17" s="38" t="n">
        <v>0.8</v>
      </c>
      <c r="I17" s="38" t="n">
        <v>1.2</v>
      </c>
      <c r="J17" s="39" t="n">
        <f aca="false">(G17+4*H17+I17)/6</f>
        <v>0.816666666666667</v>
      </c>
      <c r="K17" s="10" t="n">
        <f aca="false">ROUNDUP(ROUND(J17/F17,6),0)</f>
        <v>1</v>
      </c>
      <c r="L17" s="40"/>
      <c r="M17" s="41" t="n">
        <f aca="false">IF(L17="",K17,L17)</f>
        <v>1</v>
      </c>
      <c r="N17" s="42" t="n">
        <f aca="false">IF(ISNUMBER(SEARCH(N$5,$E17)),$J17/$F17,0)</f>
        <v>0</v>
      </c>
      <c r="O17" s="42" t="n">
        <f aca="false">IF(ISNUMBER(SEARCH(O$5,$E17)),$J17/$F17,0)</f>
        <v>0.816666666666667</v>
      </c>
      <c r="P17" s="42" t="n">
        <f aca="false">IF(ISNUMBER(SEARCH(P$5,$E17)),$J17/$F17,0)</f>
        <v>0</v>
      </c>
      <c r="Q17" s="42" t="n">
        <f aca="false">IF(ISNUMBER(SEARCH(Q$5,$E17)),$J17/$F17,0)</f>
        <v>0</v>
      </c>
    </row>
    <row r="18" customFormat="false" ht="15" hidden="false" customHeight="false" outlineLevel="0" collapsed="false">
      <c r="A18" s="12" t="n">
        <v>13</v>
      </c>
      <c r="B18" s="12" t="s">
        <v>113</v>
      </c>
      <c r="C18" s="13" t="s">
        <v>114</v>
      </c>
      <c r="D18" s="13" t="s">
        <v>319</v>
      </c>
      <c r="E18" s="13" t="s">
        <v>76</v>
      </c>
      <c r="F18" s="12" t="n">
        <v>1</v>
      </c>
      <c r="G18" s="38" t="n">
        <v>0.5</v>
      </c>
      <c r="H18" s="38" t="n">
        <v>0.8</v>
      </c>
      <c r="I18" s="38" t="n">
        <v>1.2</v>
      </c>
      <c r="J18" s="39" t="n">
        <f aca="false">(G18+4*H18+I18)/6</f>
        <v>0.816666666666667</v>
      </c>
      <c r="K18" s="10" t="n">
        <f aca="false">ROUNDUP(ROUND(J18/F18,6),0)</f>
        <v>1</v>
      </c>
      <c r="L18" s="40"/>
      <c r="M18" s="41" t="n">
        <f aca="false">IF(L18="",K18,L18)</f>
        <v>1</v>
      </c>
      <c r="N18" s="42" t="n">
        <f aca="false">IF(ISNUMBER(SEARCH(N$5,$E18)),$J18/$F18,0)</f>
        <v>0</v>
      </c>
      <c r="O18" s="42" t="n">
        <f aca="false">IF(ISNUMBER(SEARCH(O$5,$E18)),$J18/$F18,0)</f>
        <v>0.816666666666667</v>
      </c>
      <c r="P18" s="42" t="n">
        <f aca="false">IF(ISNUMBER(SEARCH(P$5,$E18)),$J18/$F18,0)</f>
        <v>0</v>
      </c>
      <c r="Q18" s="42" t="n">
        <f aca="false">IF(ISNUMBER(SEARCH(Q$5,$E18)),$J18/$F18,0)</f>
        <v>0</v>
      </c>
    </row>
    <row r="19" customFormat="false" ht="15" hidden="false" customHeight="false" outlineLevel="0" collapsed="false">
      <c r="A19" s="12" t="n">
        <v>14</v>
      </c>
      <c r="B19" s="12" t="s">
        <v>116</v>
      </c>
      <c r="C19" s="13" t="s">
        <v>117</v>
      </c>
      <c r="D19" s="13" t="s">
        <v>319</v>
      </c>
      <c r="E19" s="13" t="s">
        <v>90</v>
      </c>
      <c r="F19" s="12" t="n">
        <v>1</v>
      </c>
      <c r="G19" s="38" t="n">
        <v>4</v>
      </c>
      <c r="H19" s="38" t="n">
        <v>5.5</v>
      </c>
      <c r="I19" s="38" t="n">
        <v>7</v>
      </c>
      <c r="J19" s="39" t="n">
        <f aca="false">(G19+4*H19+I19)/6</f>
        <v>5.5</v>
      </c>
      <c r="K19" s="10" t="n">
        <f aca="false">ROUNDUP(ROUND(J19/F19,6),0)</f>
        <v>6</v>
      </c>
      <c r="L19" s="40"/>
      <c r="M19" s="41" t="n">
        <f aca="false">IF(L19="",K19,L19)</f>
        <v>6</v>
      </c>
      <c r="N19" s="42" t="n">
        <f aca="false">IF(ISNUMBER(SEARCH(N$5,$E19)),$J19/$F19,0)</f>
        <v>0</v>
      </c>
      <c r="O19" s="42" t="n">
        <f aca="false">IF(ISNUMBER(SEARCH(O$5,$E19)),$J19/$F19,0)</f>
        <v>0</v>
      </c>
      <c r="P19" s="42" t="n">
        <f aca="false">IF(ISNUMBER(SEARCH(P$5,$E19)),$J19/$F19,0)</f>
        <v>5.5</v>
      </c>
      <c r="Q19" s="42" t="n">
        <f aca="false">IF(ISNUMBER(SEARCH(Q$5,$E19)),$J19/$F19,0)</f>
        <v>0</v>
      </c>
    </row>
    <row r="20" customFormat="false" ht="15" hidden="false" customHeight="false" outlineLevel="0" collapsed="false">
      <c r="A20" s="12" t="n">
        <v>15</v>
      </c>
      <c r="B20" s="12" t="s">
        <v>119</v>
      </c>
      <c r="C20" s="13" t="s">
        <v>120</v>
      </c>
      <c r="D20" s="13" t="s">
        <v>319</v>
      </c>
      <c r="E20" s="13" t="s">
        <v>83</v>
      </c>
      <c r="F20" s="12" t="n">
        <v>1</v>
      </c>
      <c r="G20" s="38" t="n">
        <v>3</v>
      </c>
      <c r="H20" s="38" t="n">
        <v>4</v>
      </c>
      <c r="I20" s="38" t="n">
        <v>5</v>
      </c>
      <c r="J20" s="39" t="n">
        <f aca="false">(G20+4*H20+I20)/6</f>
        <v>4</v>
      </c>
      <c r="K20" s="10" t="n">
        <f aca="false">ROUNDUP(ROUND(J20/F20,6),0)</f>
        <v>4</v>
      </c>
      <c r="L20" s="40"/>
      <c r="M20" s="41" t="n">
        <f aca="false">IF(L20="",K20,L20)</f>
        <v>4</v>
      </c>
      <c r="N20" s="42" t="n">
        <f aca="false">IF(ISNUMBER(SEARCH(N$5,$E20)),$J20/$F20,0)</f>
        <v>0</v>
      </c>
      <c r="O20" s="42" t="n">
        <f aca="false">IF(ISNUMBER(SEARCH(O$5,$E20)),$J20/$F20,0)</f>
        <v>0</v>
      </c>
      <c r="P20" s="42" t="n">
        <f aca="false">IF(ISNUMBER(SEARCH(P$5,$E20)),$J20/$F20,0)</f>
        <v>0</v>
      </c>
      <c r="Q20" s="42" t="n">
        <f aca="false">IF(ISNUMBER(SEARCH(Q$5,$E20)),$J20/$F20,0)</f>
        <v>4</v>
      </c>
    </row>
    <row r="21" customFormat="false" ht="15" hidden="false" customHeight="false" outlineLevel="0" collapsed="false">
      <c r="A21" s="12" t="n">
        <v>16</v>
      </c>
      <c r="B21" s="12" t="s">
        <v>122</v>
      </c>
      <c r="C21" s="13" t="s">
        <v>123</v>
      </c>
      <c r="D21" s="13" t="s">
        <v>319</v>
      </c>
      <c r="E21" s="13" t="s">
        <v>76</v>
      </c>
      <c r="F21" s="12" t="n">
        <v>1</v>
      </c>
      <c r="G21" s="38" t="n">
        <v>2</v>
      </c>
      <c r="H21" s="38" t="n">
        <v>3</v>
      </c>
      <c r="I21" s="38" t="n">
        <v>4</v>
      </c>
      <c r="J21" s="39" t="n">
        <f aca="false">(G21+4*H21+I21)/6</f>
        <v>3</v>
      </c>
      <c r="K21" s="10" t="n">
        <f aca="false">ROUNDUP(ROUND(J21/F21,6),0)</f>
        <v>3</v>
      </c>
      <c r="L21" s="40" t="n">
        <v>14</v>
      </c>
      <c r="M21" s="41" t="n">
        <f aca="false">IF(L21="",K21,L21)</f>
        <v>14</v>
      </c>
      <c r="N21" s="42" t="n">
        <f aca="false">IF(ISNUMBER(SEARCH(N$5,$E21)),$J21/$F21,0)</f>
        <v>0</v>
      </c>
      <c r="O21" s="42" t="n">
        <f aca="false">IF(ISNUMBER(SEARCH(O$5,$E21)),$J21/$F21,0)</f>
        <v>3</v>
      </c>
      <c r="P21" s="42" t="n">
        <f aca="false">IF(ISNUMBER(SEARCH(P$5,$E21)),$J21/$F21,0)</f>
        <v>0</v>
      </c>
      <c r="Q21" s="42" t="n">
        <f aca="false">IF(ISNUMBER(SEARCH(Q$5,$E21)),$J21/$F21,0)</f>
        <v>0</v>
      </c>
    </row>
    <row r="22" customFormat="false" ht="15" hidden="false" customHeight="false" outlineLevel="0" collapsed="false">
      <c r="A22" s="12" t="n">
        <v>17</v>
      </c>
      <c r="B22" s="12" t="s">
        <v>126</v>
      </c>
      <c r="C22" s="13" t="s">
        <v>127</v>
      </c>
      <c r="D22" s="13" t="s">
        <v>320</v>
      </c>
      <c r="E22" s="13" t="s">
        <v>80</v>
      </c>
      <c r="F22" s="12" t="n">
        <v>1</v>
      </c>
      <c r="G22" s="38" t="n">
        <v>1</v>
      </c>
      <c r="H22" s="38" t="n">
        <v>1.5</v>
      </c>
      <c r="I22" s="38" t="n">
        <v>2.5</v>
      </c>
      <c r="J22" s="39" t="n">
        <f aca="false">(G22+4*H22+I22)/6</f>
        <v>1.58333333333333</v>
      </c>
      <c r="K22" s="10" t="n">
        <f aca="false">ROUNDUP(ROUND(J22/F22,6),0)</f>
        <v>2</v>
      </c>
      <c r="L22" s="40"/>
      <c r="M22" s="41" t="n">
        <f aca="false">IF(L22="",K22,L22)</f>
        <v>2</v>
      </c>
      <c r="N22" s="42" t="n">
        <f aca="false">IF(ISNUMBER(SEARCH(N$5,$E22)),$J22/$F22,0)</f>
        <v>1.58333333333333</v>
      </c>
      <c r="O22" s="42" t="n">
        <f aca="false">IF(ISNUMBER(SEARCH(O$5,$E22)),$J22/$F22,0)</f>
        <v>0</v>
      </c>
      <c r="P22" s="42" t="n">
        <f aca="false">IF(ISNUMBER(SEARCH(P$5,$E22)),$J22/$F22,0)</f>
        <v>0</v>
      </c>
      <c r="Q22" s="42" t="n">
        <f aca="false">IF(ISNUMBER(SEARCH(Q$5,$E22)),$J22/$F22,0)</f>
        <v>0</v>
      </c>
    </row>
    <row r="23" customFormat="false" ht="15" hidden="false" customHeight="false" outlineLevel="0" collapsed="false">
      <c r="A23" s="12" t="n">
        <v>18</v>
      </c>
      <c r="B23" s="12" t="s">
        <v>129</v>
      </c>
      <c r="C23" s="13" t="s">
        <v>130</v>
      </c>
      <c r="D23" s="13" t="s">
        <v>320</v>
      </c>
      <c r="E23" s="13" t="s">
        <v>131</v>
      </c>
      <c r="F23" s="12" t="n">
        <v>2</v>
      </c>
      <c r="G23" s="38" t="n">
        <v>2</v>
      </c>
      <c r="H23" s="38" t="n">
        <v>3</v>
      </c>
      <c r="I23" s="38" t="n">
        <v>4.5</v>
      </c>
      <c r="J23" s="39" t="n">
        <f aca="false">(G23+4*H23+I23)/6</f>
        <v>3.08333333333333</v>
      </c>
      <c r="K23" s="10" t="n">
        <f aca="false">ROUNDUP(ROUND(J23/F23,6),0)</f>
        <v>2</v>
      </c>
      <c r="L23" s="40"/>
      <c r="M23" s="41" t="n">
        <f aca="false">IF(L23="",K23,L23)</f>
        <v>2</v>
      </c>
      <c r="N23" s="42" t="n">
        <f aca="false">IF(ISNUMBER(SEARCH(N$5,$E23)),$J23/$F23,0)</f>
        <v>1.54166666666667</v>
      </c>
      <c r="O23" s="42" t="n">
        <f aca="false">IF(ISNUMBER(SEARCH(O$5,$E23)),$J23/$F23,0)</f>
        <v>0</v>
      </c>
      <c r="P23" s="42" t="n">
        <f aca="false">IF(ISNUMBER(SEARCH(P$5,$E23)),$J23/$F23,0)</f>
        <v>1.54166666666667</v>
      </c>
      <c r="Q23" s="42" t="n">
        <f aca="false">IF(ISNUMBER(SEARCH(Q$5,$E23)),$J23/$F23,0)</f>
        <v>0</v>
      </c>
    </row>
    <row r="24" customFormat="false" ht="15" hidden="false" customHeight="false" outlineLevel="0" collapsed="false">
      <c r="A24" s="12" t="n">
        <v>19</v>
      </c>
      <c r="B24" s="12" t="s">
        <v>133</v>
      </c>
      <c r="C24" s="13" t="s">
        <v>134</v>
      </c>
      <c r="D24" s="13" t="s">
        <v>320</v>
      </c>
      <c r="E24" s="13" t="s">
        <v>135</v>
      </c>
      <c r="F24" s="12" t="n">
        <v>2</v>
      </c>
      <c r="G24" s="38" t="n">
        <v>2</v>
      </c>
      <c r="H24" s="38" t="n">
        <v>3</v>
      </c>
      <c r="I24" s="38" t="n">
        <v>4</v>
      </c>
      <c r="J24" s="39" t="n">
        <f aca="false">(G24+4*H24+I24)/6</f>
        <v>3</v>
      </c>
      <c r="K24" s="10" t="n">
        <f aca="false">ROUNDUP(ROUND(J24/F24,6),0)</f>
        <v>2</v>
      </c>
      <c r="L24" s="40"/>
      <c r="M24" s="41" t="n">
        <f aca="false">IF(L24="",K24,L24)</f>
        <v>2</v>
      </c>
      <c r="N24" s="42" t="n">
        <f aca="false">IF(ISNUMBER(SEARCH(N$5,$E24)),$J24/$F24,0)</f>
        <v>0</v>
      </c>
      <c r="O24" s="42" t="n">
        <f aca="false">IF(ISNUMBER(SEARCH(O$5,$E24)),$J24/$F24,0)</f>
        <v>1.5</v>
      </c>
      <c r="P24" s="42" t="n">
        <f aca="false">IF(ISNUMBER(SEARCH(P$5,$E24)),$J24/$F24,0)</f>
        <v>0</v>
      </c>
      <c r="Q24" s="42" t="n">
        <f aca="false">IF(ISNUMBER(SEARCH(Q$5,$E24)),$J24/$F24,0)</f>
        <v>1.5</v>
      </c>
    </row>
    <row r="25" customFormat="false" ht="15" hidden="false" customHeight="false" outlineLevel="0" collapsed="false">
      <c r="A25" s="12" t="n">
        <v>20</v>
      </c>
      <c r="B25" s="12" t="s">
        <v>137</v>
      </c>
      <c r="C25" s="13" t="s">
        <v>138</v>
      </c>
      <c r="D25" s="13" t="s">
        <v>320</v>
      </c>
      <c r="E25" s="13" t="s">
        <v>80</v>
      </c>
      <c r="F25" s="12" t="n">
        <v>1</v>
      </c>
      <c r="G25" s="38" t="n">
        <v>0.5</v>
      </c>
      <c r="H25" s="38" t="n">
        <v>0.8</v>
      </c>
      <c r="I25" s="38" t="n">
        <v>1.2</v>
      </c>
      <c r="J25" s="39" t="n">
        <f aca="false">(G25+4*H25+I25)/6</f>
        <v>0.816666666666667</v>
      </c>
      <c r="K25" s="10" t="n">
        <f aca="false">ROUNDUP(ROUND(J25/F25,6),0)</f>
        <v>1</v>
      </c>
      <c r="L25" s="40"/>
      <c r="M25" s="41" t="n">
        <f aca="false">IF(L25="",K25,L25)</f>
        <v>1</v>
      </c>
      <c r="N25" s="42" t="n">
        <f aca="false">IF(ISNUMBER(SEARCH(N$5,$E25)),$J25/$F25,0)</f>
        <v>0.816666666666667</v>
      </c>
      <c r="O25" s="42" t="n">
        <f aca="false">IF(ISNUMBER(SEARCH(O$5,$E25)),$J25/$F25,0)</f>
        <v>0</v>
      </c>
      <c r="P25" s="42" t="n">
        <f aca="false">IF(ISNUMBER(SEARCH(P$5,$E25)),$J25/$F25,0)</f>
        <v>0</v>
      </c>
      <c r="Q25" s="42" t="n">
        <f aca="false">IF(ISNUMBER(SEARCH(Q$5,$E25)),$J25/$F25,0)</f>
        <v>0</v>
      </c>
    </row>
    <row r="26" customFormat="false" ht="15" hidden="false" customHeight="false" outlineLevel="0" collapsed="false">
      <c r="A26" s="12" t="n">
        <v>21</v>
      </c>
      <c r="B26" s="12" t="s">
        <v>140</v>
      </c>
      <c r="C26" s="13" t="s">
        <v>141</v>
      </c>
      <c r="D26" s="13" t="s">
        <v>321</v>
      </c>
      <c r="E26" s="13" t="s">
        <v>80</v>
      </c>
      <c r="F26" s="12" t="n">
        <v>1</v>
      </c>
      <c r="G26" s="38" t="n">
        <v>3</v>
      </c>
      <c r="H26" s="38" t="n">
        <v>4</v>
      </c>
      <c r="I26" s="38" t="n">
        <v>5</v>
      </c>
      <c r="J26" s="39" t="n">
        <f aca="false">(G26+4*H26+I26)/6</f>
        <v>4</v>
      </c>
      <c r="K26" s="10" t="n">
        <f aca="false">ROUNDUP(ROUND(J26/F26,6),0)</f>
        <v>4</v>
      </c>
      <c r="L26" s="40"/>
      <c r="M26" s="41" t="n">
        <f aca="false">IF(L26="",K26,L26)</f>
        <v>4</v>
      </c>
      <c r="N26" s="42" t="n">
        <f aca="false">IF(ISNUMBER(SEARCH(N$5,$E26)),$J26/$F26,0)</f>
        <v>4</v>
      </c>
      <c r="O26" s="42" t="n">
        <f aca="false">IF(ISNUMBER(SEARCH(O$5,$E26)),$J26/$F26,0)</f>
        <v>0</v>
      </c>
      <c r="P26" s="42" t="n">
        <f aca="false">IF(ISNUMBER(SEARCH(P$5,$E26)),$J26/$F26,0)</f>
        <v>0</v>
      </c>
      <c r="Q26" s="42" t="n">
        <f aca="false">IF(ISNUMBER(SEARCH(Q$5,$E26)),$J26/$F26,0)</f>
        <v>0</v>
      </c>
    </row>
    <row r="27" customFormat="false" ht="15" hidden="false" customHeight="false" outlineLevel="0" collapsed="false">
      <c r="A27" s="12" t="n">
        <v>22</v>
      </c>
      <c r="B27" s="12" t="s">
        <v>143</v>
      </c>
      <c r="C27" s="13" t="s">
        <v>144</v>
      </c>
      <c r="D27" s="13" t="s">
        <v>321</v>
      </c>
      <c r="E27" s="13" t="s">
        <v>76</v>
      </c>
      <c r="F27" s="12" t="n">
        <v>1</v>
      </c>
      <c r="G27" s="38" t="n">
        <v>1</v>
      </c>
      <c r="H27" s="38" t="n">
        <v>1.5</v>
      </c>
      <c r="I27" s="38" t="n">
        <v>2.5</v>
      </c>
      <c r="J27" s="39" t="n">
        <f aca="false">(G27+4*H27+I27)/6</f>
        <v>1.58333333333333</v>
      </c>
      <c r="K27" s="10" t="n">
        <f aca="false">ROUNDUP(ROUND(J27/F27,6),0)</f>
        <v>2</v>
      </c>
      <c r="L27" s="40"/>
      <c r="M27" s="41" t="n">
        <f aca="false">IF(L27="",K27,L27)</f>
        <v>2</v>
      </c>
      <c r="N27" s="42" t="n">
        <f aca="false">IF(ISNUMBER(SEARCH(N$5,$E27)),$J27/$F27,0)</f>
        <v>0</v>
      </c>
      <c r="O27" s="42" t="n">
        <f aca="false">IF(ISNUMBER(SEARCH(O$5,$E27)),$J27/$F27,0)</f>
        <v>1.58333333333333</v>
      </c>
      <c r="P27" s="42" t="n">
        <f aca="false">IF(ISNUMBER(SEARCH(P$5,$E27)),$J27/$F27,0)</f>
        <v>0</v>
      </c>
      <c r="Q27" s="42" t="n">
        <f aca="false">IF(ISNUMBER(SEARCH(Q$5,$E27)),$J27/$F27,0)</f>
        <v>0</v>
      </c>
    </row>
    <row r="28" customFormat="false" ht="15" hidden="false" customHeight="false" outlineLevel="0" collapsed="false">
      <c r="A28" s="12" t="n">
        <v>23</v>
      </c>
      <c r="B28" s="12" t="s">
        <v>146</v>
      </c>
      <c r="C28" s="13" t="s">
        <v>147</v>
      </c>
      <c r="D28" s="13" t="s">
        <v>321</v>
      </c>
      <c r="E28" s="13" t="s">
        <v>83</v>
      </c>
      <c r="F28" s="12" t="n">
        <v>1</v>
      </c>
      <c r="G28" s="38" t="n">
        <v>2</v>
      </c>
      <c r="H28" s="38" t="n">
        <v>3</v>
      </c>
      <c r="I28" s="38" t="n">
        <v>4</v>
      </c>
      <c r="J28" s="39" t="n">
        <f aca="false">(G28+4*H28+I28)/6</f>
        <v>3</v>
      </c>
      <c r="K28" s="10" t="n">
        <f aca="false">ROUNDUP(ROUND(J28/F28,6),0)</f>
        <v>3</v>
      </c>
      <c r="L28" s="40"/>
      <c r="M28" s="41" t="n">
        <f aca="false">IF(L28="",K28,L28)</f>
        <v>3</v>
      </c>
      <c r="N28" s="42" t="n">
        <f aca="false">IF(ISNUMBER(SEARCH(N$5,$E28)),$J28/$F28,0)</f>
        <v>0</v>
      </c>
      <c r="O28" s="42" t="n">
        <f aca="false">IF(ISNUMBER(SEARCH(O$5,$E28)),$J28/$F28,0)</f>
        <v>0</v>
      </c>
      <c r="P28" s="42" t="n">
        <f aca="false">IF(ISNUMBER(SEARCH(P$5,$E28)),$J28/$F28,0)</f>
        <v>0</v>
      </c>
      <c r="Q28" s="42" t="n">
        <f aca="false">IF(ISNUMBER(SEARCH(Q$5,$E28)),$J28/$F28,0)</f>
        <v>3</v>
      </c>
    </row>
    <row r="29" customFormat="false" ht="15" hidden="false" customHeight="false" outlineLevel="0" collapsed="false">
      <c r="A29" s="12" t="n">
        <v>24</v>
      </c>
      <c r="B29" s="12" t="s">
        <v>149</v>
      </c>
      <c r="C29" s="13" t="s">
        <v>150</v>
      </c>
      <c r="D29" s="13" t="s">
        <v>321</v>
      </c>
      <c r="E29" s="13" t="s">
        <v>151</v>
      </c>
      <c r="F29" s="12" t="n">
        <v>2</v>
      </c>
      <c r="G29" s="38" t="n">
        <v>1</v>
      </c>
      <c r="H29" s="38" t="n">
        <v>1.5</v>
      </c>
      <c r="I29" s="38" t="n">
        <v>2.5</v>
      </c>
      <c r="J29" s="39" t="n">
        <f aca="false">(G29+4*H29+I29)/6</f>
        <v>1.58333333333333</v>
      </c>
      <c r="K29" s="10" t="n">
        <f aca="false">ROUNDUP(ROUND(J29/F29,6),0)</f>
        <v>1</v>
      </c>
      <c r="L29" s="40"/>
      <c r="M29" s="41" t="n">
        <f aca="false">IF(L29="",K29,L29)</f>
        <v>1</v>
      </c>
      <c r="N29" s="42" t="n">
        <f aca="false">IF(ISNUMBER(SEARCH(N$5,$E29)),$J29/$F29,0)</f>
        <v>0</v>
      </c>
      <c r="O29" s="42" t="n">
        <f aca="false">IF(ISNUMBER(SEARCH(O$5,$E29)),$J29/$F29,0)</f>
        <v>0</v>
      </c>
      <c r="P29" s="42" t="n">
        <f aca="false">IF(ISNUMBER(SEARCH(P$5,$E29)),$J29/$F29,0)</f>
        <v>0.791666666666667</v>
      </c>
      <c r="Q29" s="42" t="n">
        <f aca="false">IF(ISNUMBER(SEARCH(Q$5,$E29)),$J29/$F29,0)</f>
        <v>0.791666666666667</v>
      </c>
    </row>
    <row r="30" customFormat="false" ht="15" hidden="false" customHeight="false" outlineLevel="0" collapsed="false">
      <c r="A30" s="12" t="n">
        <v>25</v>
      </c>
      <c r="B30" s="12" t="s">
        <v>153</v>
      </c>
      <c r="C30" s="13" t="s">
        <v>154</v>
      </c>
      <c r="D30" s="13" t="s">
        <v>322</v>
      </c>
      <c r="E30" s="13" t="s">
        <v>76</v>
      </c>
      <c r="F30" s="12" t="n">
        <v>1</v>
      </c>
      <c r="G30" s="38" t="n">
        <v>0.5</v>
      </c>
      <c r="H30" s="38" t="n">
        <v>0.8</v>
      </c>
      <c r="I30" s="38" t="n">
        <v>1.2</v>
      </c>
      <c r="J30" s="39" t="n">
        <f aca="false">(G30+4*H30+I30)/6</f>
        <v>0.816666666666667</v>
      </c>
      <c r="K30" s="10" t="n">
        <f aca="false">ROUNDUP(ROUND(J30/F30,6),0)</f>
        <v>1</v>
      </c>
      <c r="L30" s="40"/>
      <c r="M30" s="41" t="n">
        <f aca="false">IF(L30="",K30,L30)</f>
        <v>1</v>
      </c>
      <c r="N30" s="42" t="n">
        <f aca="false">IF(ISNUMBER(SEARCH(N$5,$E30)),$J30/$F30,0)</f>
        <v>0</v>
      </c>
      <c r="O30" s="42" t="n">
        <f aca="false">IF(ISNUMBER(SEARCH(O$5,$E30)),$J30/$F30,0)</f>
        <v>0.816666666666667</v>
      </c>
      <c r="P30" s="42" t="n">
        <f aca="false">IF(ISNUMBER(SEARCH(P$5,$E30)),$J30/$F30,0)</f>
        <v>0</v>
      </c>
      <c r="Q30" s="42" t="n">
        <f aca="false">IF(ISNUMBER(SEARCH(Q$5,$E30)),$J30/$F30,0)</f>
        <v>0</v>
      </c>
    </row>
    <row r="31" customFormat="false" ht="15" hidden="false" customHeight="false" outlineLevel="0" collapsed="false">
      <c r="A31" s="12" t="n">
        <v>26</v>
      </c>
      <c r="B31" s="12" t="s">
        <v>156</v>
      </c>
      <c r="C31" s="13" t="s">
        <v>157</v>
      </c>
      <c r="D31" s="13" t="s">
        <v>322</v>
      </c>
      <c r="E31" s="13" t="s">
        <v>83</v>
      </c>
      <c r="F31" s="12" t="n">
        <v>1</v>
      </c>
      <c r="G31" s="38" t="n">
        <v>0.5</v>
      </c>
      <c r="H31" s="38" t="n">
        <v>0.8</v>
      </c>
      <c r="I31" s="38" t="n">
        <v>1.2</v>
      </c>
      <c r="J31" s="39" t="n">
        <f aca="false">(G31+4*H31+I31)/6</f>
        <v>0.816666666666667</v>
      </c>
      <c r="K31" s="10" t="n">
        <f aca="false">ROUNDUP(ROUND(J31/F31,6),0)</f>
        <v>1</v>
      </c>
      <c r="L31" s="40"/>
      <c r="M31" s="41" t="n">
        <f aca="false">IF(L31="",K31,L31)</f>
        <v>1</v>
      </c>
      <c r="N31" s="42" t="n">
        <f aca="false">IF(ISNUMBER(SEARCH(N$5,$E31)),$J31/$F31,0)</f>
        <v>0</v>
      </c>
      <c r="O31" s="42" t="n">
        <f aca="false">IF(ISNUMBER(SEARCH(O$5,$E31)),$J31/$F31,0)</f>
        <v>0</v>
      </c>
      <c r="P31" s="42" t="n">
        <f aca="false">IF(ISNUMBER(SEARCH(P$5,$E31)),$J31/$F31,0)</f>
        <v>0</v>
      </c>
      <c r="Q31" s="42" t="n">
        <f aca="false">IF(ISNUMBER(SEARCH(Q$5,$E31)),$J31/$F31,0)</f>
        <v>0.816666666666667</v>
      </c>
    </row>
    <row r="32" customFormat="false" ht="15" hidden="false" customHeight="false" outlineLevel="0" collapsed="false">
      <c r="A32" s="12" t="n">
        <v>27</v>
      </c>
      <c r="B32" s="12" t="s">
        <v>158</v>
      </c>
      <c r="C32" s="13" t="s">
        <v>159</v>
      </c>
      <c r="D32" s="13" t="s">
        <v>322</v>
      </c>
      <c r="E32" s="13" t="s">
        <v>80</v>
      </c>
      <c r="F32" s="12" t="n">
        <v>1</v>
      </c>
      <c r="G32" s="38" t="n">
        <v>0.5</v>
      </c>
      <c r="H32" s="38" t="n">
        <v>0.8</v>
      </c>
      <c r="I32" s="38" t="n">
        <v>1.2</v>
      </c>
      <c r="J32" s="39" t="n">
        <f aca="false">(G32+4*H32+I32)/6</f>
        <v>0.816666666666667</v>
      </c>
      <c r="K32" s="10" t="n">
        <f aca="false">ROUNDUP(ROUND(J32/F32,6),0)</f>
        <v>1</v>
      </c>
      <c r="L32" s="40"/>
      <c r="M32" s="41" t="n">
        <f aca="false">IF(L32="",K32,L32)</f>
        <v>1</v>
      </c>
      <c r="N32" s="42" t="n">
        <f aca="false">IF(ISNUMBER(SEARCH(N$5,$E32)),$J32/$F32,0)</f>
        <v>0.816666666666667</v>
      </c>
      <c r="O32" s="42" t="n">
        <f aca="false">IF(ISNUMBER(SEARCH(O$5,$E32)),$J32/$F32,0)</f>
        <v>0</v>
      </c>
      <c r="P32" s="42" t="n">
        <f aca="false">IF(ISNUMBER(SEARCH(P$5,$E32)),$J32/$F32,0)</f>
        <v>0</v>
      </c>
      <c r="Q32" s="42" t="n">
        <f aca="false">IF(ISNUMBER(SEARCH(Q$5,$E32)),$J32/$F32,0)</f>
        <v>0</v>
      </c>
    </row>
    <row r="33" customFormat="false" ht="23.85" hidden="false" customHeight="false" outlineLevel="0" collapsed="false">
      <c r="A33" s="12" t="n">
        <v>28</v>
      </c>
      <c r="B33" s="12" t="s">
        <v>160</v>
      </c>
      <c r="C33" s="13" t="s">
        <v>161</v>
      </c>
      <c r="D33" s="13" t="s">
        <v>322</v>
      </c>
      <c r="E33" s="13" t="s">
        <v>90</v>
      </c>
      <c r="F33" s="12" t="n">
        <v>1</v>
      </c>
      <c r="G33" s="38" t="n">
        <v>0.5</v>
      </c>
      <c r="H33" s="38" t="n">
        <v>0.8</v>
      </c>
      <c r="I33" s="38" t="n">
        <v>1.2</v>
      </c>
      <c r="J33" s="39" t="n">
        <f aca="false">(G33+4*H33+I33)/6</f>
        <v>0.816666666666667</v>
      </c>
      <c r="K33" s="10" t="n">
        <f aca="false">ROUNDUP(ROUND(J33/F33,6),0)</f>
        <v>1</v>
      </c>
      <c r="L33" s="40"/>
      <c r="M33" s="41" t="n">
        <f aca="false">IF(L33="",K33,L33)</f>
        <v>1</v>
      </c>
      <c r="N33" s="42" t="n">
        <f aca="false">IF(ISNUMBER(SEARCH(N$5,$E33)),$J33/$F33,0)</f>
        <v>0</v>
      </c>
      <c r="O33" s="42" t="n">
        <f aca="false">IF(ISNUMBER(SEARCH(O$5,$E33)),$J33/$F33,0)</f>
        <v>0</v>
      </c>
      <c r="P33" s="42" t="n">
        <f aca="false">IF(ISNUMBER(SEARCH(P$5,$E33)),$J33/$F33,0)</f>
        <v>0.816666666666667</v>
      </c>
      <c r="Q33" s="42" t="n">
        <f aca="false">IF(ISNUMBER(SEARCH(Q$5,$E33)),$J33/$F33,0)</f>
        <v>0</v>
      </c>
    </row>
    <row r="34" customFormat="false" ht="15" hidden="false" customHeight="false" outlineLevel="0" collapsed="false">
      <c r="A34" s="12" t="n">
        <v>29</v>
      </c>
      <c r="B34" s="12" t="s">
        <v>162</v>
      </c>
      <c r="C34" s="13" t="s">
        <v>163</v>
      </c>
      <c r="D34" s="13" t="s">
        <v>322</v>
      </c>
      <c r="E34" s="13" t="s">
        <v>80</v>
      </c>
      <c r="F34" s="12" t="n">
        <v>1</v>
      </c>
      <c r="G34" s="38" t="n">
        <v>0.5</v>
      </c>
      <c r="H34" s="38" t="n">
        <v>0.8</v>
      </c>
      <c r="I34" s="38" t="n">
        <v>1.2</v>
      </c>
      <c r="J34" s="39" t="n">
        <f aca="false">(G34+4*H34+I34)/6</f>
        <v>0.816666666666667</v>
      </c>
      <c r="K34" s="10" t="n">
        <f aca="false">ROUNDUP(ROUND(J34/F34,6),0)</f>
        <v>1</v>
      </c>
      <c r="L34" s="40"/>
      <c r="M34" s="41" t="n">
        <f aca="false">IF(L34="",K34,L34)</f>
        <v>1</v>
      </c>
      <c r="N34" s="42" t="n">
        <f aca="false">IF(ISNUMBER(SEARCH(N$5,$E34)),$J34/$F34,0)</f>
        <v>0.816666666666667</v>
      </c>
      <c r="O34" s="42" t="n">
        <f aca="false">IF(ISNUMBER(SEARCH(O$5,$E34)),$J34/$F34,0)</f>
        <v>0</v>
      </c>
      <c r="P34" s="42" t="n">
        <f aca="false">IF(ISNUMBER(SEARCH(P$5,$E34)),$J34/$F34,0)</f>
        <v>0</v>
      </c>
      <c r="Q34" s="42" t="n">
        <f aca="false">IF(ISNUMBER(SEARCH(Q$5,$E34)),$J34/$F34,0)</f>
        <v>0</v>
      </c>
    </row>
    <row r="35" customFormat="false" ht="15" hidden="false" customHeight="false" outlineLevel="0" collapsed="false">
      <c r="A35" s="12" t="n">
        <v>30</v>
      </c>
      <c r="B35" s="12" t="s">
        <v>166</v>
      </c>
      <c r="C35" s="13" t="s">
        <v>167</v>
      </c>
      <c r="D35" s="13" t="s">
        <v>323</v>
      </c>
      <c r="E35" s="13" t="s">
        <v>168</v>
      </c>
      <c r="F35" s="12" t="n">
        <v>2</v>
      </c>
      <c r="G35" s="38" t="n">
        <v>1.5</v>
      </c>
      <c r="H35" s="38" t="n">
        <v>2</v>
      </c>
      <c r="I35" s="38" t="n">
        <v>3</v>
      </c>
      <c r="J35" s="39" t="n">
        <f aca="false">(G35+4*H35+I35)/6</f>
        <v>2.08333333333333</v>
      </c>
      <c r="K35" s="10" t="n">
        <f aca="false">ROUNDUP(ROUND(J35/F35,6),0)</f>
        <v>2</v>
      </c>
      <c r="L35" s="40"/>
      <c r="M35" s="41" t="n">
        <f aca="false">IF(L35="",K35,L35)</f>
        <v>2</v>
      </c>
      <c r="N35" s="42" t="n">
        <f aca="false">IF(ISNUMBER(SEARCH(N$5,$E35)),$J35/$F35,0)</f>
        <v>0</v>
      </c>
      <c r="O35" s="42" t="n">
        <f aca="false">IF(ISNUMBER(SEARCH(O$5,$E35)),$J35/$F35,0)</f>
        <v>1.04166666666667</v>
      </c>
      <c r="P35" s="42" t="n">
        <f aca="false">IF(ISNUMBER(SEARCH(P$5,$E35)),$J35/$F35,0)</f>
        <v>1.04166666666667</v>
      </c>
      <c r="Q35" s="42" t="n">
        <f aca="false">IF(ISNUMBER(SEARCH(Q$5,$E35)),$J35/$F35,0)</f>
        <v>0</v>
      </c>
    </row>
    <row r="36" customFormat="false" ht="15" hidden="false" customHeight="false" outlineLevel="0" collapsed="false">
      <c r="A36" s="12" t="n">
        <v>31</v>
      </c>
      <c r="B36" s="12" t="s">
        <v>170</v>
      </c>
      <c r="C36" s="13" t="s">
        <v>171</v>
      </c>
      <c r="D36" s="13" t="s">
        <v>323</v>
      </c>
      <c r="E36" s="13" t="s">
        <v>172</v>
      </c>
      <c r="F36" s="12" t="n">
        <v>4</v>
      </c>
      <c r="G36" s="38" t="n">
        <v>0.8</v>
      </c>
      <c r="H36" s="38" t="n">
        <v>1</v>
      </c>
      <c r="I36" s="38" t="n">
        <v>1.2</v>
      </c>
      <c r="J36" s="39" t="n">
        <f aca="false">(G36+4*H36+I36)/6</f>
        <v>1</v>
      </c>
      <c r="K36" s="10" t="n">
        <f aca="false">ROUNDUP(ROUND(J36/F36,6),0)</f>
        <v>1</v>
      </c>
      <c r="L36" s="40"/>
      <c r="M36" s="41" t="n">
        <f aca="false">IF(L36="",K36,L36)</f>
        <v>1</v>
      </c>
      <c r="N36" s="42" t="n">
        <f aca="false">IF(ISNUMBER(SEARCH(N$5,$E36)),$J36/$F36,0)</f>
        <v>0.25</v>
      </c>
      <c r="O36" s="42" t="n">
        <f aca="false">IF(ISNUMBER(SEARCH(O$5,$E36)),$J36/$F36,0)</f>
        <v>0.25</v>
      </c>
      <c r="P36" s="42" t="n">
        <f aca="false">IF(ISNUMBER(SEARCH(P$5,$E36)),$J36/$F36,0)</f>
        <v>0.25</v>
      </c>
      <c r="Q36" s="42" t="n">
        <f aca="false">IF(ISNUMBER(SEARCH(Q$5,$E36)),$J36/$F36,0)</f>
        <v>0.25</v>
      </c>
    </row>
    <row r="37" customFormat="false" ht="15" hidden="false" customHeight="false" outlineLevel="0" collapsed="false">
      <c r="A37" s="12" t="n">
        <v>32</v>
      </c>
      <c r="B37" s="12" t="s">
        <v>175</v>
      </c>
      <c r="C37" s="13" t="s">
        <v>176</v>
      </c>
      <c r="D37" s="13" t="s">
        <v>324</v>
      </c>
      <c r="E37" s="13" t="s">
        <v>172</v>
      </c>
      <c r="F37" s="12" t="n">
        <v>4</v>
      </c>
      <c r="G37" s="38" t="n">
        <v>0.8</v>
      </c>
      <c r="H37" s="38" t="n">
        <v>1</v>
      </c>
      <c r="I37" s="38" t="n">
        <v>1.2</v>
      </c>
      <c r="J37" s="39" t="n">
        <f aca="false">(G37+4*H37+I37)/6</f>
        <v>1</v>
      </c>
      <c r="K37" s="10" t="n">
        <f aca="false">ROUNDUP(ROUND(J37/F37,6),0)</f>
        <v>1</v>
      </c>
      <c r="L37" s="40"/>
      <c r="M37" s="41" t="n">
        <f aca="false">IF(L37="",K37,L37)</f>
        <v>1</v>
      </c>
      <c r="N37" s="42" t="n">
        <f aca="false">IF(ISNUMBER(SEARCH(N$5,$E37)),$J37/$F37,0)</f>
        <v>0.25</v>
      </c>
      <c r="O37" s="42" t="n">
        <f aca="false">IF(ISNUMBER(SEARCH(O$5,$E37)),$J37/$F37,0)</f>
        <v>0.25</v>
      </c>
      <c r="P37" s="42" t="n">
        <f aca="false">IF(ISNUMBER(SEARCH(P$5,$E37)),$J37/$F37,0)</f>
        <v>0.25</v>
      </c>
      <c r="Q37" s="42" t="n">
        <f aca="false">IF(ISNUMBER(SEARCH(Q$5,$E37)),$J37/$F37,0)</f>
        <v>0.25</v>
      </c>
    </row>
    <row r="38" customFormat="false" ht="15" hidden="false" customHeight="false" outlineLevel="0" collapsed="false">
      <c r="A38" s="12" t="n">
        <v>33</v>
      </c>
      <c r="B38" s="12" t="s">
        <v>178</v>
      </c>
      <c r="C38" s="13" t="s">
        <v>179</v>
      </c>
      <c r="D38" s="13" t="s">
        <v>324</v>
      </c>
      <c r="E38" s="13" t="s">
        <v>172</v>
      </c>
      <c r="F38" s="12" t="n">
        <v>4</v>
      </c>
      <c r="G38" s="38" t="n">
        <v>0.8</v>
      </c>
      <c r="H38" s="38" t="n">
        <v>1</v>
      </c>
      <c r="I38" s="38" t="n">
        <v>1.2</v>
      </c>
      <c r="J38" s="39" t="n">
        <f aca="false">(G38+4*H38+I38)/6</f>
        <v>1</v>
      </c>
      <c r="K38" s="10" t="n">
        <f aca="false">ROUNDUP(ROUND(J38/F38,6),0)</f>
        <v>1</v>
      </c>
      <c r="L38" s="40"/>
      <c r="M38" s="41" t="n">
        <f aca="false">IF(L38="",K38,L38)</f>
        <v>1</v>
      </c>
      <c r="N38" s="42" t="n">
        <f aca="false">IF(ISNUMBER(SEARCH(N$5,$E38)),$J38/$F38,0)</f>
        <v>0.25</v>
      </c>
      <c r="O38" s="42" t="n">
        <f aca="false">IF(ISNUMBER(SEARCH(O$5,$E38)),$J38/$F38,0)</f>
        <v>0.25</v>
      </c>
      <c r="P38" s="42" t="n">
        <f aca="false">IF(ISNUMBER(SEARCH(P$5,$E38)),$J38/$F38,0)</f>
        <v>0.25</v>
      </c>
      <c r="Q38" s="42" t="n">
        <f aca="false">IF(ISNUMBER(SEARCH(Q$5,$E38)),$J38/$F38,0)</f>
        <v>0.25</v>
      </c>
    </row>
    <row r="39" customFormat="false" ht="15" hidden="false" customHeight="false" outlineLevel="0" collapsed="false">
      <c r="A39" s="12" t="n">
        <v>34</v>
      </c>
      <c r="B39" s="12" t="s">
        <v>180</v>
      </c>
      <c r="C39" s="13" t="s">
        <v>181</v>
      </c>
      <c r="D39" s="13" t="s">
        <v>324</v>
      </c>
      <c r="E39" s="13" t="s">
        <v>172</v>
      </c>
      <c r="F39" s="12" t="n">
        <v>4</v>
      </c>
      <c r="G39" s="38" t="n">
        <v>0.8</v>
      </c>
      <c r="H39" s="38" t="n">
        <v>1</v>
      </c>
      <c r="I39" s="38" t="n">
        <v>1.2</v>
      </c>
      <c r="J39" s="39" t="n">
        <f aca="false">(G39+4*H39+I39)/6</f>
        <v>1</v>
      </c>
      <c r="K39" s="10" t="n">
        <f aca="false">ROUNDUP(ROUND(J39/F39,6),0)</f>
        <v>1</v>
      </c>
      <c r="L39" s="40"/>
      <c r="M39" s="41" t="n">
        <f aca="false">IF(L39="",K39,L39)</f>
        <v>1</v>
      </c>
      <c r="N39" s="42" t="n">
        <f aca="false">IF(ISNUMBER(SEARCH(N$5,$E39)),$J39/$F39,0)</f>
        <v>0.25</v>
      </c>
      <c r="O39" s="42" t="n">
        <f aca="false">IF(ISNUMBER(SEARCH(O$5,$E39)),$J39/$F39,0)</f>
        <v>0.25</v>
      </c>
      <c r="P39" s="42" t="n">
        <f aca="false">IF(ISNUMBER(SEARCH(P$5,$E39)),$J39/$F39,0)</f>
        <v>0.25</v>
      </c>
      <c r="Q39" s="42" t="n">
        <f aca="false">IF(ISNUMBER(SEARCH(Q$5,$E39)),$J39/$F39,0)</f>
        <v>0.25</v>
      </c>
    </row>
    <row r="40" customFormat="false" ht="15" hidden="false" customHeight="false" outlineLevel="0" collapsed="false">
      <c r="A40" s="12" t="n">
        <v>35</v>
      </c>
      <c r="B40" s="12" t="s">
        <v>182</v>
      </c>
      <c r="C40" s="13" t="s">
        <v>183</v>
      </c>
      <c r="D40" s="13" t="s">
        <v>324</v>
      </c>
      <c r="E40" s="13" t="s">
        <v>172</v>
      </c>
      <c r="F40" s="12" t="n">
        <v>4</v>
      </c>
      <c r="G40" s="38" t="n">
        <v>0.8</v>
      </c>
      <c r="H40" s="38" t="n">
        <v>1</v>
      </c>
      <c r="I40" s="38" t="n">
        <v>1.2</v>
      </c>
      <c r="J40" s="39" t="n">
        <f aca="false">(G40+4*H40+I40)/6</f>
        <v>1</v>
      </c>
      <c r="K40" s="10" t="n">
        <f aca="false">ROUNDUP(ROUND(J40/F40,6),0)</f>
        <v>1</v>
      </c>
      <c r="L40" s="40"/>
      <c r="M40" s="41" t="n">
        <f aca="false">IF(L40="",K40,L40)</f>
        <v>1</v>
      </c>
      <c r="N40" s="42" t="n">
        <f aca="false">IF(ISNUMBER(SEARCH(N$5,$E40)),$J40/$F40,0)</f>
        <v>0.25</v>
      </c>
      <c r="O40" s="42" t="n">
        <f aca="false">IF(ISNUMBER(SEARCH(O$5,$E40)),$J40/$F40,0)</f>
        <v>0.25</v>
      </c>
      <c r="P40" s="42" t="n">
        <f aca="false">IF(ISNUMBER(SEARCH(P$5,$E40)),$J40/$F40,0)</f>
        <v>0.25</v>
      </c>
      <c r="Q40" s="42" t="n">
        <f aca="false">IF(ISNUMBER(SEARCH(Q$5,$E40)),$J40/$F40,0)</f>
        <v>0.25</v>
      </c>
    </row>
    <row r="41" customFormat="false" ht="15" hidden="false" customHeight="false" outlineLevel="0" collapsed="false">
      <c r="A41" s="12" t="n">
        <v>36</v>
      </c>
      <c r="B41" s="12" t="s">
        <v>184</v>
      </c>
      <c r="C41" s="13" t="s">
        <v>185</v>
      </c>
      <c r="D41" s="13" t="s">
        <v>324</v>
      </c>
      <c r="E41" s="13" t="s">
        <v>172</v>
      </c>
      <c r="F41" s="12" t="n">
        <v>4</v>
      </c>
      <c r="G41" s="38" t="n">
        <v>0.8</v>
      </c>
      <c r="H41" s="38" t="n">
        <v>1</v>
      </c>
      <c r="I41" s="38" t="n">
        <v>1.2</v>
      </c>
      <c r="J41" s="39" t="n">
        <f aca="false">(G41+4*H41+I41)/6</f>
        <v>1</v>
      </c>
      <c r="K41" s="10" t="n">
        <f aca="false">ROUNDUP(ROUND(J41/F41,6),0)</f>
        <v>1</v>
      </c>
      <c r="L41" s="40"/>
      <c r="M41" s="41" t="n">
        <f aca="false">IF(L41="",K41,L41)</f>
        <v>1</v>
      </c>
      <c r="N41" s="42" t="n">
        <f aca="false">IF(ISNUMBER(SEARCH(N$5,$E41)),$J41/$F41,0)</f>
        <v>0.25</v>
      </c>
      <c r="O41" s="42" t="n">
        <f aca="false">IF(ISNUMBER(SEARCH(O$5,$E41)),$J41/$F41,0)</f>
        <v>0.25</v>
      </c>
      <c r="P41" s="42" t="n">
        <f aca="false">IF(ISNUMBER(SEARCH(P$5,$E41)),$J41/$F41,0)</f>
        <v>0.25</v>
      </c>
      <c r="Q41" s="42" t="n">
        <f aca="false">IF(ISNUMBER(SEARCH(Q$5,$E41)),$J41/$F41,0)</f>
        <v>0.25</v>
      </c>
    </row>
    <row r="42" customFormat="false" ht="15" hidden="false" customHeight="false" outlineLevel="0" collapsed="false">
      <c r="A42" s="12" t="n">
        <v>37</v>
      </c>
      <c r="B42" s="12" t="s">
        <v>186</v>
      </c>
      <c r="C42" s="13" t="s">
        <v>187</v>
      </c>
      <c r="D42" s="13" t="s">
        <v>324</v>
      </c>
      <c r="E42" s="13" t="s">
        <v>172</v>
      </c>
      <c r="F42" s="12" t="n">
        <v>4</v>
      </c>
      <c r="G42" s="38" t="n">
        <v>0.8</v>
      </c>
      <c r="H42" s="38" t="n">
        <v>1</v>
      </c>
      <c r="I42" s="38" t="n">
        <v>1.2</v>
      </c>
      <c r="J42" s="39" t="n">
        <f aca="false">(G42+4*H42+I42)/6</f>
        <v>1</v>
      </c>
      <c r="K42" s="10" t="n">
        <f aca="false">ROUNDUP(ROUND(J42/F42,6),0)</f>
        <v>1</v>
      </c>
      <c r="L42" s="40"/>
      <c r="M42" s="41" t="n">
        <f aca="false">IF(L42="",K42,L42)</f>
        <v>1</v>
      </c>
      <c r="N42" s="42" t="n">
        <f aca="false">IF(ISNUMBER(SEARCH(N$5,$E42)),$J42/$F42,0)</f>
        <v>0.25</v>
      </c>
      <c r="O42" s="42" t="n">
        <f aca="false">IF(ISNUMBER(SEARCH(O$5,$E42)),$J42/$F42,0)</f>
        <v>0.25</v>
      </c>
      <c r="P42" s="42" t="n">
        <f aca="false">IF(ISNUMBER(SEARCH(P$5,$E42)),$J42/$F42,0)</f>
        <v>0.25</v>
      </c>
      <c r="Q42" s="42" t="n">
        <f aca="false">IF(ISNUMBER(SEARCH(Q$5,$E42)),$J42/$F42,0)</f>
        <v>0.25</v>
      </c>
    </row>
    <row r="43" customFormat="false" ht="15" hidden="false" customHeight="false" outlineLevel="0" collapsed="false">
      <c r="A43" s="43"/>
      <c r="B43" s="43"/>
      <c r="C43" s="44" t="s">
        <v>325</v>
      </c>
      <c r="D43" s="43"/>
      <c r="E43" s="43"/>
      <c r="F43" s="43"/>
      <c r="G43" s="43"/>
      <c r="H43" s="43"/>
      <c r="I43" s="43"/>
      <c r="J43" s="37" t="n">
        <f aca="false">SUM(J6:J42)</f>
        <v>64.0833333333333</v>
      </c>
      <c r="K43" s="43"/>
      <c r="L43" s="43"/>
      <c r="M43" s="43"/>
      <c r="N43" s="37" t="n">
        <f aca="false">SUM(N6:N42)</f>
        <v>16.575</v>
      </c>
      <c r="O43" s="37" t="n">
        <f aca="false">SUM(O6:O42)</f>
        <v>14.225</v>
      </c>
      <c r="P43" s="37" t="n">
        <f aca="false">SUM(P6:P42)</f>
        <v>17.6083333333333</v>
      </c>
      <c r="Q43" s="37" t="n">
        <f aca="false">SUM(Q6:Q42)</f>
        <v>15.675</v>
      </c>
    </row>
    <row r="44" customFormat="false" ht="15" hidden="false" customHeight="false" outlineLevel="0" collapsed="false">
      <c r="C44" s="8" t="s">
        <v>326</v>
      </c>
      <c r="J44" s="11" t="str">
        <f aca="false">IF(ABS(SUM(N43:Q43)-J43)&lt;0.001,"OK","SELISIH")</f>
        <v>OK</v>
      </c>
    </row>
    <row r="46" customFormat="false" ht="15" hidden="false" customHeight="false" outlineLevel="0" collapsed="false">
      <c r="C46" s="45" t="s">
        <v>327</v>
      </c>
      <c r="D46" s="7" t="s">
        <v>328</v>
      </c>
      <c r="E46" s="7" t="s">
        <v>329</v>
      </c>
    </row>
    <row r="47" customFormat="false" ht="15" hidden="false" customHeight="false" outlineLevel="0" collapsed="false">
      <c r="C47" s="8" t="s">
        <v>316</v>
      </c>
      <c r="D47" s="39" t="n">
        <f aca="false">SUMIFS($J$6:$J$42,$D$6:$D$42,C47)</f>
        <v>7.38333333333333</v>
      </c>
      <c r="E47" s="46" t="n">
        <f aca="false">D47/$J$43</f>
        <v>0.115214564369311</v>
      </c>
    </row>
    <row r="48" customFormat="false" ht="15" hidden="false" customHeight="false" outlineLevel="0" collapsed="false">
      <c r="C48" s="8" t="s">
        <v>317</v>
      </c>
      <c r="D48" s="39" t="n">
        <f aca="false">SUMIFS($J$6:$J$42,$D$6:$D$42,C48)</f>
        <v>6.16666666666667</v>
      </c>
      <c r="E48" s="46" t="n">
        <f aca="false">D48/$J$43</f>
        <v>0.0962288686605982</v>
      </c>
    </row>
    <row r="49" customFormat="false" ht="15" hidden="false" customHeight="false" outlineLevel="0" collapsed="false">
      <c r="C49" s="8" t="s">
        <v>318</v>
      </c>
      <c r="D49" s="39" t="n">
        <f aca="false">SUMIFS($J$6:$J$42,$D$6:$D$42,C49)</f>
        <v>5.4</v>
      </c>
      <c r="E49" s="46" t="n">
        <f aca="false">D49/$J$43</f>
        <v>0.0842652795838752</v>
      </c>
    </row>
    <row r="50" customFormat="false" ht="15" hidden="false" customHeight="false" outlineLevel="0" collapsed="false">
      <c r="C50" s="8" t="s">
        <v>319</v>
      </c>
      <c r="D50" s="39" t="n">
        <f aca="false">SUMIFS($J$6:$J$42,$D$6:$D$42,C50)</f>
        <v>13.3166666666667</v>
      </c>
      <c r="E50" s="46" t="n">
        <f aca="false">D50/$J$43</f>
        <v>0.207802340702211</v>
      </c>
    </row>
    <row r="51" customFormat="false" ht="15" hidden="false" customHeight="false" outlineLevel="0" collapsed="false">
      <c r="C51" s="8" t="s">
        <v>320</v>
      </c>
      <c r="D51" s="39" t="n">
        <f aca="false">SUMIFS($J$6:$J$42,$D$6:$D$42,C51)</f>
        <v>8.48333333333333</v>
      </c>
      <c r="E51" s="46" t="n">
        <f aca="false">D51/$J$43</f>
        <v>0.132379713914174</v>
      </c>
    </row>
    <row r="52" customFormat="false" ht="15" hidden="false" customHeight="false" outlineLevel="0" collapsed="false">
      <c r="C52" s="8" t="s">
        <v>321</v>
      </c>
      <c r="D52" s="39" t="n">
        <f aca="false">SUMIFS($J$6:$J$42,$D$6:$D$42,C52)</f>
        <v>10.1666666666667</v>
      </c>
      <c r="E52" s="46" t="n">
        <f aca="false">D52/$J$43</f>
        <v>0.158647594278283</v>
      </c>
    </row>
    <row r="53" customFormat="false" ht="15" hidden="false" customHeight="false" outlineLevel="0" collapsed="false">
      <c r="C53" s="8" t="s">
        <v>322</v>
      </c>
      <c r="D53" s="39" t="n">
        <f aca="false">SUMIFS($J$6:$J$42,$D$6:$D$42,C53)</f>
        <v>4.08333333333333</v>
      </c>
      <c r="E53" s="46" t="n">
        <f aca="false">D53/$J$43</f>
        <v>0.0637191157347204</v>
      </c>
    </row>
    <row r="54" customFormat="false" ht="15" hidden="false" customHeight="false" outlineLevel="0" collapsed="false">
      <c r="C54" s="8" t="s">
        <v>323</v>
      </c>
      <c r="D54" s="39" t="n">
        <f aca="false">SUMIFS($J$6:$J$42,$D$6:$D$42,C54)</f>
        <v>3.08333333333333</v>
      </c>
      <c r="E54" s="46" t="n">
        <f aca="false">D54/$J$43</f>
        <v>0.0481144343302991</v>
      </c>
    </row>
    <row r="55" customFormat="false" ht="15" hidden="false" customHeight="false" outlineLevel="0" collapsed="false">
      <c r="C55" s="8" t="s">
        <v>324</v>
      </c>
      <c r="D55" s="39" t="n">
        <f aca="false">SUMIFS($J$6:$J$42,$D$6:$D$42,C55)</f>
        <v>6</v>
      </c>
      <c r="E55" s="46" t="n">
        <f aca="false">D55/$J$43</f>
        <v>0.093628088426528</v>
      </c>
    </row>
    <row r="57" customFormat="false" ht="15" hidden="false" customHeight="false" outlineLevel="0" collapsed="false">
      <c r="C57" s="3" t="s">
        <v>330</v>
      </c>
    </row>
    <row r="58" customFormat="false" ht="15" hidden="false" customHeight="false" outlineLevel="0" collapsed="false">
      <c r="C58" s="2" t="s">
        <v>331</v>
      </c>
    </row>
    <row r="59" customFormat="false" ht="15" hidden="false" customHeight="false" outlineLevel="0" collapsed="false">
      <c r="C59" s="2" t="s">
        <v>332</v>
      </c>
    </row>
    <row r="60" customFormat="false" ht="15" hidden="false" customHeight="false" outlineLevel="0" collapsed="false">
      <c r="C60" s="2" t="s">
        <v>333</v>
      </c>
    </row>
    <row r="61" customFormat="false" ht="15" hidden="false" customHeight="false" outlineLevel="0" collapsed="false">
      <c r="C61" s="2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20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335</v>
      </c>
    </row>
    <row r="2" customFormat="false" ht="15" hidden="false" customHeight="false" outlineLevel="0" collapsed="false">
      <c r="A2" s="2" t="s">
        <v>336</v>
      </c>
    </row>
    <row r="4" customFormat="false" ht="15" hidden="false" customHeight="false" outlineLevel="0" collapsed="false">
      <c r="A4" s="3" t="s">
        <v>337</v>
      </c>
    </row>
    <row r="5" customFormat="false" ht="15" hidden="false" customHeight="false" outlineLevel="0" collapsed="false">
      <c r="A5" s="8" t="s">
        <v>338</v>
      </c>
      <c r="B5" s="8"/>
      <c r="C5" s="8"/>
      <c r="D5" s="8"/>
      <c r="E5" s="47" t="n">
        <v>100000</v>
      </c>
    </row>
    <row r="6" customFormat="false" ht="15" hidden="false" customHeight="false" outlineLevel="0" collapsed="false">
      <c r="A6" s="8" t="s">
        <v>339</v>
      </c>
      <c r="B6" s="8"/>
      <c r="C6" s="8"/>
      <c r="D6" s="8"/>
      <c r="E6" s="48" t="n">
        <v>0.1</v>
      </c>
    </row>
    <row r="8" customFormat="false" ht="15" hidden="false" customHeight="false" outlineLevel="0" collapsed="false">
      <c r="A8" s="3" t="s">
        <v>340</v>
      </c>
    </row>
    <row r="9" customFormat="false" ht="15" hidden="false" customHeight="false" outlineLevel="0" collapsed="false">
      <c r="A9" s="7" t="s">
        <v>341</v>
      </c>
      <c r="B9" s="7" t="s">
        <v>342</v>
      </c>
      <c r="C9" s="7" t="s">
        <v>328</v>
      </c>
      <c r="D9" s="7" t="s">
        <v>343</v>
      </c>
      <c r="E9" s="7" t="s">
        <v>344</v>
      </c>
    </row>
    <row r="10" customFormat="false" ht="23.85" hidden="false" customHeight="false" outlineLevel="0" collapsed="false">
      <c r="A10" s="8" t="s">
        <v>197</v>
      </c>
      <c r="B10" s="13" t="s">
        <v>199</v>
      </c>
      <c r="C10" s="49" t="n">
        <f aca="false">'Effort Manday'!N43</f>
        <v>16.575</v>
      </c>
      <c r="D10" s="50" t="n">
        <f aca="false">$E$5</f>
        <v>100000</v>
      </c>
      <c r="E10" s="50" t="n">
        <f aca="false">C10*D10</f>
        <v>1657500</v>
      </c>
    </row>
    <row r="11" customFormat="false" ht="23.85" hidden="false" customHeight="false" outlineLevel="0" collapsed="false">
      <c r="A11" s="8" t="s">
        <v>202</v>
      </c>
      <c r="B11" s="13" t="s">
        <v>204</v>
      </c>
      <c r="C11" s="49" t="n">
        <f aca="false">'Effort Manday'!O43</f>
        <v>14.225</v>
      </c>
      <c r="D11" s="50" t="n">
        <f aca="false">$E$5</f>
        <v>100000</v>
      </c>
      <c r="E11" s="50" t="n">
        <f aca="false">C11*D11</f>
        <v>1422500</v>
      </c>
    </row>
    <row r="12" customFormat="false" ht="23.85" hidden="false" customHeight="false" outlineLevel="0" collapsed="false">
      <c r="A12" s="8" t="s">
        <v>207</v>
      </c>
      <c r="B12" s="13" t="s">
        <v>209</v>
      </c>
      <c r="C12" s="49" t="n">
        <f aca="false">'Effort Manday'!P43</f>
        <v>17.6083333333333</v>
      </c>
      <c r="D12" s="50" t="n">
        <f aca="false">$E$5</f>
        <v>100000</v>
      </c>
      <c r="E12" s="50" t="n">
        <f aca="false">C12*D12</f>
        <v>1760833.33333333</v>
      </c>
    </row>
    <row r="13" customFormat="false" ht="23.85" hidden="false" customHeight="false" outlineLevel="0" collapsed="false">
      <c r="A13" s="8" t="s">
        <v>212</v>
      </c>
      <c r="B13" s="13" t="s">
        <v>214</v>
      </c>
      <c r="C13" s="49" t="n">
        <f aca="false">'Effort Manday'!Q43</f>
        <v>15.675</v>
      </c>
      <c r="D13" s="50" t="n">
        <f aca="false">$E$5</f>
        <v>100000</v>
      </c>
      <c r="E13" s="50" t="n">
        <f aca="false">C13*D13</f>
        <v>1567500</v>
      </c>
    </row>
    <row r="14" customFormat="false" ht="15" hidden="false" customHeight="false" outlineLevel="0" collapsed="false">
      <c r="A14" s="44" t="s">
        <v>345</v>
      </c>
      <c r="B14" s="43"/>
      <c r="C14" s="37" t="n">
        <f aca="false">SUM(C10:C13)</f>
        <v>64.0833333333333</v>
      </c>
      <c r="D14" s="43"/>
      <c r="E14" s="51" t="n">
        <f aca="false">SUM(E10:E13)</f>
        <v>6408333.33333333</v>
      </c>
    </row>
    <row r="16" customFormat="false" ht="15" hidden="false" customHeight="false" outlineLevel="0" collapsed="false">
      <c r="A16" s="3" t="s">
        <v>346</v>
      </c>
    </row>
    <row r="17" customFormat="false" ht="15" hidden="false" customHeight="false" outlineLevel="0" collapsed="false">
      <c r="A17" s="7" t="s">
        <v>347</v>
      </c>
      <c r="B17" s="7" t="s">
        <v>242</v>
      </c>
      <c r="C17" s="7" t="s">
        <v>348</v>
      </c>
      <c r="D17" s="7" t="s">
        <v>349</v>
      </c>
      <c r="E17" s="7" t="s">
        <v>350</v>
      </c>
      <c r="F17" s="7" t="s">
        <v>351</v>
      </c>
      <c r="G17" s="7" t="s">
        <v>58</v>
      </c>
      <c r="H17" s="7" t="s">
        <v>245</v>
      </c>
    </row>
    <row r="18" customFormat="false" ht="15" hidden="false" customHeight="false" outlineLevel="0" collapsed="false">
      <c r="A18" s="13" t="s">
        <v>352</v>
      </c>
      <c r="B18" s="52" t="n">
        <v>4</v>
      </c>
      <c r="C18" s="28" t="s">
        <v>353</v>
      </c>
      <c r="D18" s="53" t="n">
        <v>0</v>
      </c>
      <c r="E18" s="52" t="n">
        <v>1</v>
      </c>
      <c r="F18" s="50" t="n">
        <f aca="false">B18*D18*E18</f>
        <v>0</v>
      </c>
      <c r="G18" s="28" t="s">
        <v>354</v>
      </c>
      <c r="H18" s="13" t="s">
        <v>355</v>
      </c>
    </row>
    <row r="19" customFormat="false" ht="15" hidden="false" customHeight="false" outlineLevel="0" collapsed="false">
      <c r="A19" s="13" t="s">
        <v>356</v>
      </c>
      <c r="B19" s="52" t="n">
        <v>1</v>
      </c>
      <c r="C19" s="28" t="s">
        <v>353</v>
      </c>
      <c r="D19" s="53" t="n">
        <v>0</v>
      </c>
      <c r="E19" s="52" t="n">
        <v>1</v>
      </c>
      <c r="F19" s="50" t="n">
        <f aca="false">B19*D19*E19</f>
        <v>0</v>
      </c>
      <c r="G19" s="28" t="s">
        <v>354</v>
      </c>
      <c r="H19" s="13" t="s">
        <v>357</v>
      </c>
    </row>
    <row r="20" customFormat="false" ht="15" hidden="false" customHeight="false" outlineLevel="0" collapsed="false">
      <c r="A20" s="13" t="s">
        <v>358</v>
      </c>
      <c r="B20" s="52" t="n">
        <v>1</v>
      </c>
      <c r="C20" s="28" t="s">
        <v>359</v>
      </c>
      <c r="D20" s="53" t="n">
        <v>0</v>
      </c>
      <c r="E20" s="52" t="n">
        <v>1</v>
      </c>
      <c r="F20" s="50" t="n">
        <f aca="false">B20*D20*E20</f>
        <v>0</v>
      </c>
      <c r="G20" s="28" t="s">
        <v>354</v>
      </c>
      <c r="H20" s="13" t="s">
        <v>360</v>
      </c>
    </row>
    <row r="21" customFormat="false" ht="15" hidden="false" customHeight="false" outlineLevel="0" collapsed="false">
      <c r="A21" s="13" t="s">
        <v>361</v>
      </c>
      <c r="B21" s="52" t="n">
        <v>1</v>
      </c>
      <c r="C21" s="28" t="s">
        <v>359</v>
      </c>
      <c r="D21" s="53" t="n">
        <v>0</v>
      </c>
      <c r="E21" s="52" t="n">
        <v>1</v>
      </c>
      <c r="F21" s="50" t="n">
        <f aca="false">B21*D21*E21</f>
        <v>0</v>
      </c>
      <c r="G21" s="28" t="s">
        <v>354</v>
      </c>
      <c r="H21" s="13" t="s">
        <v>275</v>
      </c>
    </row>
    <row r="22" customFormat="false" ht="15" hidden="false" customHeight="false" outlineLevel="0" collapsed="false">
      <c r="A22" s="13" t="s">
        <v>362</v>
      </c>
      <c r="B22" s="52" t="n">
        <v>1</v>
      </c>
      <c r="C22" s="28" t="s">
        <v>359</v>
      </c>
      <c r="D22" s="53" t="n">
        <v>0</v>
      </c>
      <c r="E22" s="52" t="n">
        <v>1</v>
      </c>
      <c r="F22" s="50" t="n">
        <f aca="false">B22*D22*E22</f>
        <v>0</v>
      </c>
      <c r="G22" s="28" t="s">
        <v>354</v>
      </c>
      <c r="H22" s="13" t="s">
        <v>360</v>
      </c>
    </row>
    <row r="23" customFormat="false" ht="23.85" hidden="false" customHeight="false" outlineLevel="0" collapsed="false">
      <c r="A23" s="13" t="s">
        <v>363</v>
      </c>
      <c r="B23" s="52" t="n">
        <v>0</v>
      </c>
      <c r="C23" s="28" t="s">
        <v>364</v>
      </c>
      <c r="D23" s="53" t="n">
        <v>0</v>
      </c>
      <c r="E23" s="52" t="n">
        <v>1</v>
      </c>
      <c r="F23" s="50" t="n">
        <f aca="false">B23*D23*E23</f>
        <v>0</v>
      </c>
      <c r="G23" s="28" t="s">
        <v>365</v>
      </c>
      <c r="H23" s="13" t="s">
        <v>366</v>
      </c>
    </row>
    <row r="24" customFormat="false" ht="15" hidden="false" customHeight="false" outlineLevel="0" collapsed="false">
      <c r="A24" s="13" t="s">
        <v>367</v>
      </c>
      <c r="B24" s="52" t="n">
        <v>4</v>
      </c>
      <c r="C24" s="28" t="s">
        <v>368</v>
      </c>
      <c r="D24" s="53" t="n">
        <v>75000</v>
      </c>
      <c r="E24" s="52" t="n">
        <v>2</v>
      </c>
      <c r="F24" s="50" t="n">
        <f aca="false">B24*D24*E24</f>
        <v>600000</v>
      </c>
      <c r="G24" s="28" t="s">
        <v>365</v>
      </c>
      <c r="H24" s="13" t="s">
        <v>369</v>
      </c>
    </row>
    <row r="25" customFormat="false" ht="15" hidden="false" customHeight="false" outlineLevel="0" collapsed="false">
      <c r="A25" s="44" t="s">
        <v>370</v>
      </c>
      <c r="B25" s="43"/>
      <c r="C25" s="43"/>
      <c r="D25" s="43"/>
      <c r="E25" s="43"/>
      <c r="F25" s="51" t="n">
        <f aca="false">SUM(F18:F24)</f>
        <v>600000</v>
      </c>
      <c r="G25" s="43"/>
      <c r="H25" s="43"/>
    </row>
    <row r="27" customFormat="false" ht="15" hidden="false" customHeight="false" outlineLevel="0" collapsed="false">
      <c r="A27" s="3" t="s">
        <v>371</v>
      </c>
    </row>
    <row r="28" customFormat="false" ht="15" hidden="false" customHeight="false" outlineLevel="0" collapsed="false">
      <c r="A28" s="7" t="s">
        <v>347</v>
      </c>
      <c r="B28" s="7" t="s">
        <v>242</v>
      </c>
      <c r="C28" s="7" t="s">
        <v>348</v>
      </c>
      <c r="D28" s="7" t="s">
        <v>349</v>
      </c>
      <c r="E28" s="7" t="s">
        <v>350</v>
      </c>
      <c r="F28" s="7" t="s">
        <v>351</v>
      </c>
      <c r="G28" s="7" t="s">
        <v>58</v>
      </c>
      <c r="H28" s="7" t="s">
        <v>245</v>
      </c>
    </row>
    <row r="29" customFormat="false" ht="15" hidden="false" customHeight="false" outlineLevel="0" collapsed="false">
      <c r="A29" s="13" t="s">
        <v>372</v>
      </c>
      <c r="B29" s="52" t="n">
        <v>3</v>
      </c>
      <c r="C29" s="28" t="s">
        <v>373</v>
      </c>
      <c r="D29" s="53" t="n">
        <v>50000</v>
      </c>
      <c r="E29" s="52" t="n">
        <v>1</v>
      </c>
      <c r="F29" s="50" t="n">
        <f aca="false">B29*D29*E29</f>
        <v>150000</v>
      </c>
      <c r="G29" s="28" t="s">
        <v>365</v>
      </c>
      <c r="H29" s="13" t="s">
        <v>374</v>
      </c>
    </row>
    <row r="30" customFormat="false" ht="15" hidden="false" customHeight="false" outlineLevel="0" collapsed="false">
      <c r="A30" s="13" t="s">
        <v>375</v>
      </c>
      <c r="B30" s="52" t="n">
        <v>1</v>
      </c>
      <c r="C30" s="28" t="s">
        <v>376</v>
      </c>
      <c r="D30" s="53" t="n">
        <v>50000</v>
      </c>
      <c r="E30" s="52" t="n">
        <v>1</v>
      </c>
      <c r="F30" s="50" t="n">
        <f aca="false">B30*D30*E30</f>
        <v>50000</v>
      </c>
      <c r="G30" s="28" t="s">
        <v>365</v>
      </c>
      <c r="H30" s="13" t="s">
        <v>377</v>
      </c>
    </row>
    <row r="31" customFormat="false" ht="15" hidden="false" customHeight="false" outlineLevel="0" collapsed="false">
      <c r="A31" s="44" t="s">
        <v>370</v>
      </c>
      <c r="B31" s="43"/>
      <c r="C31" s="43"/>
      <c r="D31" s="43"/>
      <c r="E31" s="43"/>
      <c r="F31" s="51" t="n">
        <f aca="false">SUM(F29:F30)</f>
        <v>200000</v>
      </c>
      <c r="G31" s="43"/>
      <c r="H31" s="43"/>
    </row>
    <row r="33" customFormat="false" ht="15" hidden="false" customHeight="false" outlineLevel="0" collapsed="false">
      <c r="A33" s="3" t="s">
        <v>378</v>
      </c>
    </row>
    <row r="34" customFormat="false" ht="15" hidden="false" customHeight="false" outlineLevel="0" collapsed="false">
      <c r="A34" s="7" t="s">
        <v>379</v>
      </c>
      <c r="B34" s="7"/>
      <c r="C34" s="7"/>
      <c r="D34" s="7"/>
      <c r="E34" s="7" t="s">
        <v>380</v>
      </c>
    </row>
    <row r="35" customFormat="false" ht="15" hidden="false" customHeight="false" outlineLevel="0" collapsed="false">
      <c r="A35" s="8" t="s">
        <v>381</v>
      </c>
      <c r="B35" s="8"/>
      <c r="C35" s="8"/>
      <c r="D35" s="8"/>
      <c r="E35" s="50" t="n">
        <f aca="false">E14</f>
        <v>6408333.33333333</v>
      </c>
    </row>
    <row r="36" customFormat="false" ht="15" hidden="false" customHeight="false" outlineLevel="0" collapsed="false">
      <c r="A36" s="8" t="s">
        <v>346</v>
      </c>
      <c r="B36" s="8"/>
      <c r="C36" s="8"/>
      <c r="D36" s="8"/>
      <c r="E36" s="50" t="n">
        <f aca="false">F25</f>
        <v>600000</v>
      </c>
    </row>
    <row r="37" customFormat="false" ht="15" hidden="false" customHeight="false" outlineLevel="0" collapsed="false">
      <c r="A37" s="8" t="s">
        <v>371</v>
      </c>
      <c r="B37" s="8"/>
      <c r="C37" s="8"/>
      <c r="D37" s="8"/>
      <c r="E37" s="50" t="n">
        <f aca="false">F31</f>
        <v>200000</v>
      </c>
    </row>
    <row r="38" customFormat="false" ht="15" hidden="false" customHeight="false" outlineLevel="0" collapsed="false">
      <c r="A38" s="8" t="s">
        <v>370</v>
      </c>
      <c r="B38" s="8"/>
      <c r="C38" s="8"/>
      <c r="D38" s="8"/>
      <c r="E38" s="54" t="n">
        <f aca="false">SUM(E35:E37)</f>
        <v>7208333.33333333</v>
      </c>
    </row>
    <row r="39" customFormat="false" ht="15" hidden="false" customHeight="false" outlineLevel="0" collapsed="false">
      <c r="A39" s="8" t="s">
        <v>382</v>
      </c>
      <c r="B39" s="8"/>
      <c r="C39" s="8"/>
      <c r="D39" s="8"/>
      <c r="E39" s="50" t="n">
        <f aca="false">E38*$E$6</f>
        <v>720833.333333334</v>
      </c>
    </row>
    <row r="40" customFormat="false" ht="15" hidden="false" customHeight="false" outlineLevel="0" collapsed="false">
      <c r="A40" s="44" t="s">
        <v>383</v>
      </c>
      <c r="B40" s="44"/>
      <c r="C40" s="44"/>
      <c r="D40" s="44"/>
      <c r="E40" s="51" t="n">
        <f aca="false">E38+E39</f>
        <v>7929166.66666667</v>
      </c>
    </row>
    <row r="42" customFormat="false" ht="15" hidden="false" customHeight="false" outlineLevel="0" collapsed="false">
      <c r="A42" s="8" t="s">
        <v>384</v>
      </c>
      <c r="B42" s="8"/>
      <c r="C42" s="8"/>
      <c r="D42" s="8"/>
      <c r="E42" s="54" t="n">
        <f aca="false">SUMIFS(F18:F24,G18:G24,"Kas")+SUMIFS(F29:F30,G29:G30,"Kas")</f>
        <v>800000</v>
      </c>
    </row>
    <row r="43" customFormat="false" ht="15" hidden="false" customHeight="false" outlineLevel="0" collapsed="false">
      <c r="A43" s="8" t="s">
        <v>385</v>
      </c>
      <c r="B43" s="8"/>
      <c r="C43" s="8"/>
      <c r="D43" s="8"/>
      <c r="E43" s="50" t="n">
        <f aca="false">E14</f>
        <v>6408333.33333333</v>
      </c>
    </row>
    <row r="45" customFormat="false" ht="15" hidden="false" customHeight="false" outlineLevel="0" collapsed="false">
      <c r="A45" s="2" t="s">
        <v>386</v>
      </c>
    </row>
  </sheetData>
  <mergeCells count="10">
    <mergeCell ref="A5:D5"/>
    <mergeCell ref="A6:D6"/>
    <mergeCell ref="A35:D35"/>
    <mergeCell ref="A36:D36"/>
    <mergeCell ref="A37:D37"/>
    <mergeCell ref="A38:D38"/>
    <mergeCell ref="A39:D39"/>
    <mergeCell ref="A40:D40"/>
    <mergeCell ref="A42:D42"/>
    <mergeCell ref="A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62"/>
    <col collapsed="false" customWidth="true" hidden="false" outlineLevel="0" max="11" min="11" style="0" width="12"/>
    <col collapsed="false" customWidth="true" hidden="false" outlineLevel="0" max="12" min="12" style="0" width="34"/>
    <col collapsed="false" customWidth="true" hidden="false" outlineLevel="0" max="13" min="13" style="0" width="10"/>
  </cols>
  <sheetData>
    <row r="1" customFormat="false" ht="17.35" hidden="false" customHeight="false" outlineLevel="0" collapsed="false">
      <c r="A1" s="1" t="s">
        <v>387</v>
      </c>
    </row>
    <row r="2" customFormat="false" ht="15" hidden="false" customHeight="false" outlineLevel="0" collapsed="false">
      <c r="A2" s="2" t="s">
        <v>388</v>
      </c>
    </row>
    <row r="4" customFormat="false" ht="39.75" hidden="false" customHeight="true" outlineLevel="0" collapsed="false">
      <c r="A4" s="7" t="s">
        <v>389</v>
      </c>
      <c r="B4" s="7" t="s">
        <v>390</v>
      </c>
      <c r="C4" s="7" t="s">
        <v>391</v>
      </c>
      <c r="D4" s="7" t="s">
        <v>51</v>
      </c>
      <c r="E4" s="7" t="s">
        <v>392</v>
      </c>
      <c r="F4" s="7" t="s">
        <v>393</v>
      </c>
      <c r="G4" s="7" t="s">
        <v>394</v>
      </c>
      <c r="H4" s="7" t="s">
        <v>395</v>
      </c>
      <c r="I4" s="7" t="s">
        <v>396</v>
      </c>
      <c r="J4" s="7" t="s">
        <v>397</v>
      </c>
      <c r="K4" s="7" t="s">
        <v>398</v>
      </c>
      <c r="L4" s="7" t="s">
        <v>399</v>
      </c>
      <c r="M4" s="7" t="s">
        <v>11</v>
      </c>
    </row>
    <row r="5" customFormat="false" ht="54" hidden="false" customHeight="true" outlineLevel="0" collapsed="false">
      <c r="A5" s="55" t="s">
        <v>400</v>
      </c>
      <c r="B5" s="13" t="s">
        <v>401</v>
      </c>
      <c r="C5" s="13" t="s">
        <v>402</v>
      </c>
      <c r="D5" s="56" t="s">
        <v>270</v>
      </c>
      <c r="E5" s="57" t="n">
        <v>4</v>
      </c>
      <c r="F5" s="57" t="n">
        <v>4</v>
      </c>
      <c r="G5" s="58" t="n">
        <f aca="false">E5*F5</f>
        <v>16</v>
      </c>
      <c r="H5" s="55" t="str">
        <f aca="false">IF(G5&gt;=15,"Tinggi",IF(G5&gt;=8,"Sedang","Rendah"))</f>
        <v>Tinggi</v>
      </c>
      <c r="I5" s="12" t="s">
        <v>403</v>
      </c>
      <c r="J5" s="13" t="s">
        <v>404</v>
      </c>
      <c r="K5" s="12" t="s">
        <v>83</v>
      </c>
      <c r="L5" s="13" t="s">
        <v>405</v>
      </c>
      <c r="M5" s="12" t="s">
        <v>406</v>
      </c>
    </row>
    <row r="6" customFormat="false" ht="54" hidden="false" customHeight="true" outlineLevel="0" collapsed="false">
      <c r="A6" s="55" t="s">
        <v>407</v>
      </c>
      <c r="B6" s="13" t="s">
        <v>408</v>
      </c>
      <c r="C6" s="13" t="s">
        <v>409</v>
      </c>
      <c r="D6" s="56" t="s">
        <v>63</v>
      </c>
      <c r="E6" s="57" t="n">
        <v>4</v>
      </c>
      <c r="F6" s="57" t="n">
        <v>3</v>
      </c>
      <c r="G6" s="58" t="n">
        <f aca="false">E6*F6</f>
        <v>12</v>
      </c>
      <c r="H6" s="55" t="str">
        <f aca="false">IF(G6&gt;=15,"Tinggi",IF(G6&gt;=8,"Sedang","Rendah"))</f>
        <v>Sedang</v>
      </c>
      <c r="I6" s="12" t="s">
        <v>403</v>
      </c>
      <c r="J6" s="13" t="s">
        <v>410</v>
      </c>
      <c r="K6" s="12" t="s">
        <v>80</v>
      </c>
      <c r="L6" s="13" t="s">
        <v>411</v>
      </c>
      <c r="M6" s="12" t="s">
        <v>406</v>
      </c>
    </row>
    <row r="7" customFormat="false" ht="54" hidden="false" customHeight="true" outlineLevel="0" collapsed="false">
      <c r="A7" s="55" t="s">
        <v>412</v>
      </c>
      <c r="B7" s="13" t="s">
        <v>413</v>
      </c>
      <c r="C7" s="13" t="s">
        <v>414</v>
      </c>
      <c r="D7" s="56" t="s">
        <v>415</v>
      </c>
      <c r="E7" s="57" t="n">
        <v>3</v>
      </c>
      <c r="F7" s="57" t="n">
        <v>4</v>
      </c>
      <c r="G7" s="58" t="n">
        <f aca="false">E7*F7</f>
        <v>12</v>
      </c>
      <c r="H7" s="55" t="str">
        <f aca="false">IF(G7&gt;=15,"Tinggi",IF(G7&gt;=8,"Sedang","Rendah"))</f>
        <v>Sedang</v>
      </c>
      <c r="I7" s="12" t="s">
        <v>403</v>
      </c>
      <c r="J7" s="13" t="s">
        <v>416</v>
      </c>
      <c r="K7" s="12" t="s">
        <v>76</v>
      </c>
      <c r="L7" s="13" t="s">
        <v>417</v>
      </c>
      <c r="M7" s="12" t="s">
        <v>406</v>
      </c>
    </row>
    <row r="8" customFormat="false" ht="54" hidden="false" customHeight="true" outlineLevel="0" collapsed="false">
      <c r="A8" s="55" t="s">
        <v>418</v>
      </c>
      <c r="B8" s="13" t="s">
        <v>419</v>
      </c>
      <c r="C8" s="13" t="s">
        <v>420</v>
      </c>
      <c r="D8" s="56" t="s">
        <v>421</v>
      </c>
      <c r="E8" s="57" t="n">
        <v>3</v>
      </c>
      <c r="F8" s="57" t="n">
        <v>4</v>
      </c>
      <c r="G8" s="58" t="n">
        <f aca="false">E8*F8</f>
        <v>12</v>
      </c>
      <c r="H8" s="55" t="str">
        <f aca="false">IF(G8&gt;=15,"Tinggi",IF(G8&gt;=8,"Sedang","Rendah"))</f>
        <v>Sedang</v>
      </c>
      <c r="I8" s="12" t="s">
        <v>422</v>
      </c>
      <c r="J8" s="13" t="s">
        <v>423</v>
      </c>
      <c r="K8" s="12" t="s">
        <v>80</v>
      </c>
      <c r="L8" s="13" t="s">
        <v>424</v>
      </c>
      <c r="M8" s="12" t="s">
        <v>406</v>
      </c>
    </row>
    <row r="9" customFormat="false" ht="54" hidden="false" customHeight="true" outlineLevel="0" collapsed="false">
      <c r="A9" s="55" t="s">
        <v>425</v>
      </c>
      <c r="B9" s="13" t="s">
        <v>426</v>
      </c>
      <c r="C9" s="13" t="s">
        <v>427</v>
      </c>
      <c r="D9" s="56" t="s">
        <v>63</v>
      </c>
      <c r="E9" s="57" t="n">
        <v>3</v>
      </c>
      <c r="F9" s="57" t="n">
        <v>4</v>
      </c>
      <c r="G9" s="58" t="n">
        <f aca="false">E9*F9</f>
        <v>12</v>
      </c>
      <c r="H9" s="55" t="str">
        <f aca="false">IF(G9&gt;=15,"Tinggi",IF(G9&gt;=8,"Sedang","Rendah"))</f>
        <v>Sedang</v>
      </c>
      <c r="I9" s="12" t="s">
        <v>403</v>
      </c>
      <c r="J9" s="13" t="s">
        <v>428</v>
      </c>
      <c r="K9" s="12" t="s">
        <v>80</v>
      </c>
      <c r="L9" s="13" t="s">
        <v>429</v>
      </c>
      <c r="M9" s="12" t="s">
        <v>406</v>
      </c>
    </row>
    <row r="10" customFormat="false" ht="54" hidden="false" customHeight="true" outlineLevel="0" collapsed="false">
      <c r="A10" s="55" t="s">
        <v>430</v>
      </c>
      <c r="B10" s="13" t="s">
        <v>431</v>
      </c>
      <c r="C10" s="13" t="s">
        <v>432</v>
      </c>
      <c r="D10" s="56" t="s">
        <v>433</v>
      </c>
      <c r="E10" s="57" t="n">
        <v>3</v>
      </c>
      <c r="F10" s="57" t="n">
        <v>4</v>
      </c>
      <c r="G10" s="58" t="n">
        <f aca="false">E10*F10</f>
        <v>12</v>
      </c>
      <c r="H10" s="55" t="str">
        <f aca="false">IF(G10&gt;=15,"Tinggi",IF(G10&gt;=8,"Sedang","Rendah"))</f>
        <v>Sedang</v>
      </c>
      <c r="I10" s="12" t="s">
        <v>403</v>
      </c>
      <c r="J10" s="13" t="s">
        <v>434</v>
      </c>
      <c r="K10" s="12" t="s">
        <v>90</v>
      </c>
      <c r="L10" s="13" t="s">
        <v>435</v>
      </c>
      <c r="M10" s="12" t="s">
        <v>406</v>
      </c>
    </row>
    <row r="11" customFormat="false" ht="54" hidden="false" customHeight="true" outlineLevel="0" collapsed="false">
      <c r="A11" s="55" t="s">
        <v>436</v>
      </c>
      <c r="B11" s="13" t="s">
        <v>437</v>
      </c>
      <c r="C11" s="13" t="s">
        <v>438</v>
      </c>
      <c r="D11" s="56" t="s">
        <v>122</v>
      </c>
      <c r="E11" s="57" t="n">
        <v>3</v>
      </c>
      <c r="F11" s="57" t="n">
        <v>3</v>
      </c>
      <c r="G11" s="58" t="n">
        <f aca="false">E11*F11</f>
        <v>9</v>
      </c>
      <c r="H11" s="55" t="str">
        <f aca="false">IF(G11&gt;=15,"Tinggi",IF(G11&gt;=8,"Sedang","Rendah"))</f>
        <v>Sedang</v>
      </c>
      <c r="I11" s="12" t="s">
        <v>403</v>
      </c>
      <c r="J11" s="13" t="s">
        <v>439</v>
      </c>
      <c r="K11" s="12" t="s">
        <v>76</v>
      </c>
      <c r="L11" s="13" t="s">
        <v>440</v>
      </c>
      <c r="M11" s="12" t="s">
        <v>406</v>
      </c>
    </row>
    <row r="12" customFormat="false" ht="54" hidden="false" customHeight="true" outlineLevel="0" collapsed="false">
      <c r="A12" s="55" t="s">
        <v>441</v>
      </c>
      <c r="B12" s="13" t="s">
        <v>442</v>
      </c>
      <c r="C12" s="13" t="s">
        <v>443</v>
      </c>
      <c r="D12" s="56" t="s">
        <v>63</v>
      </c>
      <c r="E12" s="57" t="n">
        <v>3</v>
      </c>
      <c r="F12" s="57" t="n">
        <v>3</v>
      </c>
      <c r="G12" s="58" t="n">
        <f aca="false">E12*F12</f>
        <v>9</v>
      </c>
      <c r="H12" s="55" t="str">
        <f aca="false">IF(G12&gt;=15,"Tinggi",IF(G12&gt;=8,"Sedang","Rendah"))</f>
        <v>Sedang</v>
      </c>
      <c r="I12" s="12" t="s">
        <v>444</v>
      </c>
      <c r="J12" s="13" t="s">
        <v>445</v>
      </c>
      <c r="K12" s="12" t="s">
        <v>76</v>
      </c>
      <c r="L12" s="13" t="s">
        <v>446</v>
      </c>
      <c r="M12" s="12" t="s">
        <v>406</v>
      </c>
    </row>
    <row r="13" customFormat="false" ht="54" hidden="false" customHeight="true" outlineLevel="0" collapsed="false">
      <c r="A13" s="55" t="s">
        <v>447</v>
      </c>
      <c r="B13" s="13" t="s">
        <v>448</v>
      </c>
      <c r="C13" s="13" t="s">
        <v>449</v>
      </c>
      <c r="D13" s="56" t="s">
        <v>119</v>
      </c>
      <c r="E13" s="57" t="n">
        <v>4</v>
      </c>
      <c r="F13" s="57" t="n">
        <v>2</v>
      </c>
      <c r="G13" s="58" t="n">
        <f aca="false">E13*F13</f>
        <v>8</v>
      </c>
      <c r="H13" s="55" t="str">
        <f aca="false">IF(G13&gt;=15,"Tinggi",IF(G13&gt;=8,"Sedang","Rendah"))</f>
        <v>Sedang</v>
      </c>
      <c r="I13" s="12" t="s">
        <v>403</v>
      </c>
      <c r="J13" s="13" t="s">
        <v>450</v>
      </c>
      <c r="K13" s="12" t="s">
        <v>83</v>
      </c>
      <c r="L13" s="13" t="s">
        <v>451</v>
      </c>
      <c r="M13" s="12" t="s">
        <v>406</v>
      </c>
    </row>
    <row r="14" customFormat="false" ht="54" hidden="false" customHeight="true" outlineLevel="0" collapsed="false">
      <c r="A14" s="55" t="s">
        <v>452</v>
      </c>
      <c r="B14" s="13" t="s">
        <v>453</v>
      </c>
      <c r="C14" s="13" t="s">
        <v>454</v>
      </c>
      <c r="D14" s="56" t="s">
        <v>455</v>
      </c>
      <c r="E14" s="57" t="n">
        <v>2</v>
      </c>
      <c r="F14" s="57" t="n">
        <v>4</v>
      </c>
      <c r="G14" s="58" t="n">
        <f aca="false">E14*F14</f>
        <v>8</v>
      </c>
      <c r="H14" s="55" t="str">
        <f aca="false">IF(G14&gt;=15,"Tinggi",IF(G14&gt;=8,"Sedang","Rendah"))</f>
        <v>Sedang</v>
      </c>
      <c r="I14" s="12" t="s">
        <v>403</v>
      </c>
      <c r="J14" s="13" t="s">
        <v>456</v>
      </c>
      <c r="K14" s="12" t="s">
        <v>90</v>
      </c>
      <c r="L14" s="13" t="s">
        <v>457</v>
      </c>
      <c r="M14" s="12" t="s">
        <v>406</v>
      </c>
    </row>
    <row r="15" customFormat="false" ht="54" hidden="false" customHeight="true" outlineLevel="0" collapsed="false">
      <c r="A15" s="55" t="s">
        <v>458</v>
      </c>
      <c r="B15" s="13" t="s">
        <v>459</v>
      </c>
      <c r="C15" s="13" t="s">
        <v>460</v>
      </c>
      <c r="D15" s="56" t="s">
        <v>63</v>
      </c>
      <c r="E15" s="57" t="n">
        <v>2</v>
      </c>
      <c r="F15" s="57" t="n">
        <v>4</v>
      </c>
      <c r="G15" s="58" t="n">
        <f aca="false">E15*F15</f>
        <v>8</v>
      </c>
      <c r="H15" s="55" t="str">
        <f aca="false">IF(G15&gt;=15,"Tinggi",IF(G15&gt;=8,"Sedang","Rendah"))</f>
        <v>Sedang</v>
      </c>
      <c r="I15" s="12" t="s">
        <v>403</v>
      </c>
      <c r="J15" s="13" t="s">
        <v>461</v>
      </c>
      <c r="K15" s="12" t="s">
        <v>76</v>
      </c>
      <c r="L15" s="13" t="s">
        <v>462</v>
      </c>
      <c r="M15" s="12" t="s">
        <v>406</v>
      </c>
    </row>
    <row r="16" customFormat="false" ht="54" hidden="false" customHeight="true" outlineLevel="0" collapsed="false">
      <c r="A16" s="55" t="s">
        <v>463</v>
      </c>
      <c r="B16" s="13" t="s">
        <v>464</v>
      </c>
      <c r="C16" s="13" t="s">
        <v>465</v>
      </c>
      <c r="D16" s="56" t="s">
        <v>270</v>
      </c>
      <c r="E16" s="57" t="n">
        <v>3</v>
      </c>
      <c r="F16" s="57" t="n">
        <v>2</v>
      </c>
      <c r="G16" s="58" t="n">
        <f aca="false">E16*F16</f>
        <v>6</v>
      </c>
      <c r="H16" s="55" t="str">
        <f aca="false">IF(G16&gt;=15,"Tinggi",IF(G16&gt;=8,"Sedang","Rendah"))</f>
        <v>Rendah</v>
      </c>
      <c r="I16" s="12" t="s">
        <v>403</v>
      </c>
      <c r="J16" s="13" t="s">
        <v>466</v>
      </c>
      <c r="K16" s="12" t="s">
        <v>83</v>
      </c>
      <c r="L16" s="13" t="s">
        <v>467</v>
      </c>
      <c r="M16" s="12" t="s">
        <v>406</v>
      </c>
    </row>
    <row r="17" customFormat="false" ht="54" hidden="false" customHeight="true" outlineLevel="0" collapsed="false">
      <c r="A17" s="55" t="s">
        <v>468</v>
      </c>
      <c r="B17" s="13" t="s">
        <v>469</v>
      </c>
      <c r="C17" s="13" t="s">
        <v>470</v>
      </c>
      <c r="D17" s="56" t="s">
        <v>281</v>
      </c>
      <c r="E17" s="57" t="n">
        <v>1</v>
      </c>
      <c r="F17" s="57" t="n">
        <v>3</v>
      </c>
      <c r="G17" s="58" t="n">
        <f aca="false">E17*F17</f>
        <v>3</v>
      </c>
      <c r="H17" s="55" t="str">
        <f aca="false">IF(G17&gt;=15,"Tinggi",IF(G17&gt;=8,"Sedang","Rendah"))</f>
        <v>Rendah</v>
      </c>
      <c r="I17" s="12" t="s">
        <v>444</v>
      </c>
      <c r="J17" s="13" t="s">
        <v>471</v>
      </c>
      <c r="K17" s="12" t="s">
        <v>76</v>
      </c>
      <c r="L17" s="13" t="s">
        <v>472</v>
      </c>
      <c r="M17" s="12" t="s">
        <v>406</v>
      </c>
    </row>
    <row r="19" customFormat="false" ht="15" hidden="false" customHeight="false" outlineLevel="0" collapsed="false">
      <c r="B19" s="3" t="s">
        <v>73</v>
      </c>
    </row>
    <row r="20" customFormat="false" ht="15" hidden="false" customHeight="false" outlineLevel="0" collapsed="false">
      <c r="B20" s="8" t="s">
        <v>473</v>
      </c>
      <c r="C20" s="41" t="n">
        <f aca="false">COUNTIF($H$5:$H$17,"Tinggi")</f>
        <v>1</v>
      </c>
    </row>
    <row r="21" customFormat="false" ht="15" hidden="false" customHeight="false" outlineLevel="0" collapsed="false">
      <c r="B21" s="8" t="s">
        <v>474</v>
      </c>
      <c r="C21" s="41" t="n">
        <f aca="false">COUNTIF($H$5:$H$17,"Sedang")</f>
        <v>10</v>
      </c>
    </row>
    <row r="22" customFormat="false" ht="15" hidden="false" customHeight="false" outlineLevel="0" collapsed="false">
      <c r="B22" s="8" t="s">
        <v>475</v>
      </c>
      <c r="C22" s="41" t="n">
        <f aca="false">COUNTIF($H$5:$H$17,"Rendah")</f>
        <v>2</v>
      </c>
    </row>
    <row r="24" customFormat="false" ht="15" hidden="false" customHeight="false" outlineLevel="0" collapsed="false">
      <c r="B24" s="2" t="s">
        <v>476</v>
      </c>
    </row>
  </sheetData>
  <conditionalFormatting sqref="H5:H17">
    <cfRule type="expression" priority="2" aboveAverage="0" equalAverage="0" bottom="0" percent="0" rank="0" text="" dxfId="4">
      <formula>H5="Tinggi"</formula>
    </cfRule>
    <cfRule type="expression" priority="3" aboveAverage="0" equalAverage="0" bottom="0" percent="0" rank="0" text="" dxfId="5">
      <formula>H5="Sedang"</formula>
    </cfRule>
    <cfRule type="expression" priority="4" aboveAverage="0" equalAverage="0" bottom="0" percent="0" rank="0" text="" dxfId="6">
      <formula>H5="Rendah"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2026-10-17T07:21:17Z</dcterms:created>
  <dc:creator>openpyxl</dc:creator>
  <dc:description/>
  <dc:language>en-US</dc:language>
  <cp:lastModifiedBy/>
  <dcterms:modified xsi:type="dcterms:W3CDTF">2026-10-17T07:21:17Z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